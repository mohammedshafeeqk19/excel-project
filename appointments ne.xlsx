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wnloads\New folder\"/>
    </mc:Choice>
  </mc:AlternateContent>
  <xr:revisionPtr revIDLastSave="0" documentId="13_ncr:1_{8753F364-3830-4CE9-93BF-6F9C37FB47CD}" xr6:coauthVersionLast="47" xr6:coauthVersionMax="47" xr10:uidLastSave="{00000000-0000-0000-0000-000000000000}"/>
  <bookViews>
    <workbookView xWindow="-108" yWindow="-108" windowWidth="23256" windowHeight="12456" firstSheet="1" activeTab="7" xr2:uid="{9922AF45-ABD2-42F5-80AB-10FDCA711DFB}"/>
  </bookViews>
  <sheets>
    <sheet name="treatment" sheetId="8" r:id="rId1"/>
    <sheet name="patient" sheetId="9" r:id="rId2"/>
    <sheet name="doctor" sheetId="10" r:id="rId3"/>
    <sheet name="bill" sheetId="11" r:id="rId4"/>
    <sheet name="hospital management" sheetId="1" r:id="rId5"/>
    <sheet name="clean data" sheetId="7" r:id="rId6"/>
    <sheet name="pivot" sheetId="2" r:id="rId7"/>
    <sheet name="QUESTION" sheetId="6" r:id="rId8"/>
    <sheet name="DASHBOARD" sheetId="3" r:id="rId9"/>
  </sheets>
  <definedNames>
    <definedName name="NativeTimeline_Bill_Date">#N/A</definedName>
    <definedName name="Slicer_First_Name">#N/A</definedName>
    <definedName name="Slicer_Insurance_Provider">#N/A</definedName>
    <definedName name="Slicer_Payment_Method">#N/A</definedName>
    <definedName name="Slicer_Treatment_Type">#N/A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 i="7" l="1"/>
  <c r="AH12" i="7"/>
  <c r="AH10" i="7"/>
  <c r="AK5" i="7"/>
  <c r="AK6" i="7"/>
  <c r="AK4" i="7"/>
  <c r="AH5" i="7"/>
  <c r="AH6" i="7"/>
  <c r="AH4" i="7"/>
  <c r="K3"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841200-C153-4619-88F0-925CB39D99E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C249201-6D9A-4D93-9F49-5F9DB60CA2F8}"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<sst xmlns="http://schemas.openxmlformats.org/spreadsheetml/2006/main" count="10442" uniqueCount="921">
  <si>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</si>
  <si>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</si>
  <si>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</si>
  <si>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</si>
  <si>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</si>
  <si>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</si>
  <si>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</si>
  <si>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</si>
  <si>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</si>
  <si>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</si>
  <si>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</si>
  <si>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</si>
  <si>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</si>
  <si>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</si>
  <si>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</si>
  <si>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</si>
  <si>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</si>
  <si>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</si>
  <si>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</si>
  <si>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</si>
  <si>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</si>
  <si>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</si>
  <si>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</si>
  <si>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</si>
  <si>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</si>
  <si>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</si>
  <si>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</si>
  <si>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</si>
  <si>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</si>
  <si>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</si>
  <si>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</si>
  <si>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</si>
  <si>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</si>
  <si>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</si>
  <si>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</si>
  <si>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</si>
  <si>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</si>
  <si>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</si>
  <si>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</si>
  <si>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</si>
  <si>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</si>
  <si>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</si>
  <si>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</si>
  <si>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</si>
  <si>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</si>
  <si>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</si>
  <si>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</si>
  <si>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</si>
  <si>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</si>
  <si>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</si>
  <si>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</si>
  <si>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</si>
  <si>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</si>
  <si>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</si>
  <si>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</si>
  <si>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</si>
  <si>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</si>
  <si>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</si>
  <si>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</si>
  <si>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</si>
  <si>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</si>
  <si>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</si>
  <si>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</si>
  <si>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</si>
  <si>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</si>
  <si>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</si>
  <si>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</si>
  <si>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</si>
  <si>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</si>
  <si>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</si>
  <si>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</si>
  <si>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</si>
  <si>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</si>
  <si>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</si>
  <si>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</si>
  <si>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</si>
  <si>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</si>
  <si>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</si>
  <si>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</si>
  <si>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</si>
  <si>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</si>
  <si>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</si>
  <si>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</si>
  <si>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</si>
  <si>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</si>
  <si>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</si>
  <si>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</si>
  <si>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</si>
  <si>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</si>
  <si>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</si>
  <si>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</si>
  <si>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</si>
  <si>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</si>
  <si>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</si>
  <si>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</si>
  <si>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</si>
  <si>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</si>
  <si>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</si>
  <si>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</si>
  <si>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</si>
  <si>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</si>
  <si>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</si>
  <si>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</si>
  <si>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</si>
  <si>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</si>
  <si>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</si>
  <si>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</si>
  <si>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</si>
  <si>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</si>
  <si>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</si>
  <si>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</si>
  <si>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</si>
  <si>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</si>
  <si>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</si>
  <si>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</si>
  <si>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</si>
  <si>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</si>
  <si>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</si>
  <si>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</si>
  <si>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</si>
  <si>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</si>
  <si>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</si>
  <si>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</si>
  <si>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</si>
  <si>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</si>
  <si>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</si>
  <si>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</si>
  <si>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</si>
  <si>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</si>
  <si>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</si>
  <si>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</si>
  <si>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</si>
  <si>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</si>
  <si>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</si>
  <si>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</si>
  <si>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</si>
  <si>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</si>
  <si>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</si>
  <si>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</si>
  <si>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</si>
  <si>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</si>
  <si>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</si>
  <si>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</si>
  <si>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</si>
  <si>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</si>
  <si>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</si>
  <si>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</si>
  <si>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</si>
  <si>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</si>
  <si>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</si>
  <si>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</si>
  <si>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</si>
  <si>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</si>
  <si>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</si>
  <si>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</si>
  <si>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</si>
  <si>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</si>
  <si>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</si>
  <si>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</si>
  <si>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</si>
  <si>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</si>
  <si>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</si>
  <si>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</si>
  <si>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</si>
  <si>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</si>
  <si>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</si>
  <si>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</si>
  <si>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</si>
  <si>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</si>
  <si>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</si>
  <si>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</si>
  <si>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</si>
  <si>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</si>
  <si>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</si>
  <si>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</si>
  <si>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</si>
  <si>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</si>
  <si>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</si>
  <si>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</si>
  <si>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</si>
  <si>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</si>
  <si>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</si>
  <si>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</si>
  <si>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</si>
  <si>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</si>
  <si>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</si>
  <si>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</si>
  <si>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</si>
  <si>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</si>
  <si>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</si>
  <si>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</si>
  <si>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</si>
  <si>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</si>
  <si>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</si>
  <si>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</si>
  <si>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</si>
  <si>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</si>
  <si>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</si>
  <si>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</si>
  <si>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</si>
  <si>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</si>
  <si>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</si>
  <si>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</si>
  <si>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</si>
  <si>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</si>
  <si>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</si>
  <si>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</si>
  <si>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</si>
  <si>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</si>
  <si>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</si>
  <si>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</si>
  <si>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</si>
  <si>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</si>
  <si>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</si>
  <si>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</si>
  <si>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</si>
  <si>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</si>
  <si>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</si>
  <si>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</si>
  <si>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</si>
  <si>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</si>
  <si>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</si>
  <si>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</si>
  <si>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</si>
  <si>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</si>
  <si>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</si>
  <si>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</si>
  <si>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</si>
  <si>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</si>
  <si>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</si>
  <si>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</si>
  <si>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</si>
  <si>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</si>
  <si>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</si>
  <si>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</si>
  <si>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</si>
  <si>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</si>
  <si>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</si>
  <si>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</si>
  <si>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</si>
  <si>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</si>
  <si>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</si>
  <si>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</si>
  <si>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</si>
  <si>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</si>
  <si>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</si>
  <si>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</si>
  <si>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</si>
  <si>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</si>
  <si>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</si>
  <si>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</si>
  <si>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</si>
  <si>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</si>
  <si>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</si>
  <si>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</si>
  <si>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</si>
  <si>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</si>
  <si>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</si>
  <si>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</si>
  <si>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</si>
  <si>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</si>
  <si>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</si>
  <si>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</si>
  <si>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</si>
  <si>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</si>
  <si>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</si>
  <si>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</si>
  <si>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Appointment_Id</t>
  </si>
  <si>
    <t>Patient_Id</t>
  </si>
  <si>
    <t>Doctor_Id</t>
  </si>
  <si>
    <t>Appointment_Date</t>
  </si>
  <si>
    <t>Appointment_Time</t>
  </si>
  <si>
    <t>Reason_For_Visit</t>
  </si>
  <si>
    <t>Status</t>
  </si>
  <si>
    <t>Treatment_Type</t>
  </si>
  <si>
    <t>Description</t>
  </si>
  <si>
    <t>Cost</t>
  </si>
  <si>
    <t>Treatment_Date</t>
  </si>
  <si>
    <t>First_Name</t>
  </si>
  <si>
    <t>Last_Name</t>
  </si>
  <si>
    <t>Gender</t>
  </si>
  <si>
    <t>Date_Of_Birth</t>
  </si>
  <si>
    <t>Contact_Number</t>
  </si>
  <si>
    <t>Address</t>
  </si>
  <si>
    <t>Registration_Date</t>
  </si>
  <si>
    <t>Insurance_Provider</t>
  </si>
  <si>
    <t>Insurance_Number</t>
  </si>
  <si>
    <t>Specialization</t>
  </si>
  <si>
    <t>Phone_Number</t>
  </si>
  <si>
    <t>Years_Experience</t>
  </si>
  <si>
    <t>Hospital_Branch</t>
  </si>
  <si>
    <t>Treatment_Id</t>
  </si>
  <si>
    <t>Bill_Date</t>
  </si>
  <si>
    <t>Amount</t>
  </si>
  <si>
    <t>Payment_Method</t>
  </si>
  <si>
    <t>Payment_Status</t>
  </si>
  <si>
    <t>Row Labels</t>
  </si>
  <si>
    <t>Central Hospital</t>
  </si>
  <si>
    <t>Eastside Clinic</t>
  </si>
  <si>
    <t>Westside Clinic</t>
  </si>
  <si>
    <t>Grand Total</t>
  </si>
  <si>
    <t>Sum of Amount</t>
  </si>
  <si>
    <t>Column Labels</t>
  </si>
  <si>
    <t>Count of Appointment_Id</t>
  </si>
  <si>
    <t>Sum of Cost</t>
  </si>
  <si>
    <t>DASHBOARD</t>
  </si>
  <si>
    <t>TOTAL COUNT</t>
  </si>
  <si>
    <t>GRAND TOTAL</t>
  </si>
  <si>
    <t>Dermatology</t>
  </si>
  <si>
    <t>Oncology</t>
  </si>
  <si>
    <t>Pediatrics</t>
  </si>
  <si>
    <t>Cash</t>
  </si>
  <si>
    <t>ANSWER</t>
  </si>
  <si>
    <t>central hospital</t>
  </si>
  <si>
    <t>east side clinic</t>
  </si>
  <si>
    <t>west side clinic</t>
  </si>
  <si>
    <t>Credit Card</t>
  </si>
  <si>
    <t>Insurance</t>
  </si>
  <si>
    <t>cancelled</t>
  </si>
  <si>
    <t>cash</t>
  </si>
  <si>
    <t>credit card</t>
  </si>
  <si>
    <t>insurance</t>
  </si>
  <si>
    <t>completed</t>
  </si>
  <si>
    <t>no show</t>
  </si>
  <si>
    <t>scheduled</t>
  </si>
  <si>
    <t>health india</t>
  </si>
  <si>
    <t>med careplus</t>
  </si>
  <si>
    <t>pulse secure</t>
  </si>
  <si>
    <t>wellness corp</t>
  </si>
  <si>
    <t>failled</t>
  </si>
  <si>
    <t>pending</t>
  </si>
  <si>
    <t>paid</t>
  </si>
  <si>
    <t>dermatology</t>
  </si>
  <si>
    <t>oncology</t>
  </si>
  <si>
    <t>pediatrics</t>
  </si>
  <si>
    <t>QUESTIONS</t>
  </si>
  <si>
    <t>what is the total billing amount  genaratd by each hospital ?</t>
  </si>
  <si>
    <t>eastside clinic</t>
  </si>
  <si>
    <t>how are appointment status distributed across different payment method ?</t>
  </si>
  <si>
    <t>what is total billing revenue by insurance provider and payment status ?</t>
  </si>
  <si>
    <t>what is  average treatment cost per medical specialization ?</t>
  </si>
  <si>
    <t>how many appiontment were booked  for each  doctor  specialization across individual hospital branches ?</t>
  </si>
  <si>
    <t>Chemotherapy</t>
  </si>
  <si>
    <t>Basic screening</t>
  </si>
  <si>
    <t>Alex</t>
  </si>
  <si>
    <t>Smith</t>
  </si>
  <si>
    <t>F</t>
  </si>
  <si>
    <t>321 Maple Dr</t>
  </si>
  <si>
    <t>WellnessCorp</t>
  </si>
  <si>
    <t>INS653880</t>
  </si>
  <si>
    <t>Sarah</t>
  </si>
  <si>
    <t>T001</t>
  </si>
  <si>
    <t>Pending</t>
  </si>
  <si>
    <t>MRI</t>
  </si>
  <si>
    <t>Advanced protocol</t>
  </si>
  <si>
    <t>Moore</t>
  </si>
  <si>
    <t>M</t>
  </si>
  <si>
    <t>123 Elm St</t>
  </si>
  <si>
    <t>MedCare Plus</t>
  </si>
  <si>
    <t>INS335362</t>
  </si>
  <si>
    <t>David</t>
  </si>
  <si>
    <t>Jones</t>
  </si>
  <si>
    <t>T002</t>
  </si>
  <si>
    <t>Paid</t>
  </si>
  <si>
    <t>Standard procedure</t>
  </si>
  <si>
    <t>Emily</t>
  </si>
  <si>
    <t>Miller</t>
  </si>
  <si>
    <t>PulseSecure</t>
  </si>
  <si>
    <t>INS694319</t>
  </si>
  <si>
    <t>T003</t>
  </si>
  <si>
    <t>Robert</t>
  </si>
  <si>
    <t>Wilson</t>
  </si>
  <si>
    <t>HealthIndia</t>
  </si>
  <si>
    <t>INS833429</t>
  </si>
  <si>
    <t>Davis</t>
  </si>
  <si>
    <t>T004</t>
  </si>
  <si>
    <t>Failed</t>
  </si>
  <si>
    <t>ECG</t>
  </si>
  <si>
    <t>Williams</t>
  </si>
  <si>
    <t>456 Oak Ave</t>
  </si>
  <si>
    <t>INS320984</t>
  </si>
  <si>
    <t>Jane</t>
  </si>
  <si>
    <t>T005</t>
  </si>
  <si>
    <t>Linda</t>
  </si>
  <si>
    <t>INS701863</t>
  </si>
  <si>
    <t>T006</t>
  </si>
  <si>
    <t>789 Pine Rd</t>
  </si>
  <si>
    <t>INS840674</t>
  </si>
  <si>
    <t>T007</t>
  </si>
  <si>
    <t>Physiotherapy</t>
  </si>
  <si>
    <t>Michael</t>
  </si>
  <si>
    <t>Taylor</t>
  </si>
  <si>
    <t>INS156958</t>
  </si>
  <si>
    <t>T008</t>
  </si>
  <si>
    <t>INS348710</t>
  </si>
  <si>
    <t>T009</t>
  </si>
  <si>
    <t>INS788105</t>
  </si>
  <si>
    <t>T010</t>
  </si>
  <si>
    <t>John</t>
  </si>
  <si>
    <t>Brown</t>
  </si>
  <si>
    <t>INS258823</t>
  </si>
  <si>
    <t>T011</t>
  </si>
  <si>
    <t>INS630089</t>
  </si>
  <si>
    <t>T012</t>
  </si>
  <si>
    <t>Laura</t>
  </si>
  <si>
    <t>INS650929</t>
  </si>
  <si>
    <t>T013</t>
  </si>
  <si>
    <t>INS104014</t>
  </si>
  <si>
    <t>T014</t>
  </si>
  <si>
    <t>INS598863</t>
  </si>
  <si>
    <t>T015</t>
  </si>
  <si>
    <t>INS319963</t>
  </si>
  <si>
    <t>T017</t>
  </si>
  <si>
    <t>X-Ray</t>
  </si>
  <si>
    <t>INS118070</t>
  </si>
  <si>
    <t>T020</t>
  </si>
  <si>
    <t>INS679036</t>
  </si>
  <si>
    <t>T021</t>
  </si>
  <si>
    <t>INS337549</t>
  </si>
  <si>
    <t>T023</t>
  </si>
  <si>
    <t>INS584299</t>
  </si>
  <si>
    <t>T024</t>
  </si>
  <si>
    <t>INS250262</t>
  </si>
  <si>
    <t>T025</t>
  </si>
  <si>
    <t>INS368799</t>
  </si>
  <si>
    <t>T026</t>
  </si>
  <si>
    <t>INS297392</t>
  </si>
  <si>
    <t>T033</t>
  </si>
  <si>
    <t>INS764076</t>
  </si>
  <si>
    <t>T035</t>
  </si>
  <si>
    <t>INS544209</t>
  </si>
  <si>
    <t>T036</t>
  </si>
  <si>
    <t>Johnson</t>
  </si>
  <si>
    <t>INS730152</t>
  </si>
  <si>
    <t>T039</t>
  </si>
  <si>
    <t>INS866577</t>
  </si>
  <si>
    <t>T040</t>
  </si>
  <si>
    <t>INS542905</t>
  </si>
  <si>
    <t>T044</t>
  </si>
  <si>
    <t>INS855073</t>
  </si>
  <si>
    <t>T046</t>
  </si>
  <si>
    <t>INS789944</t>
  </si>
  <si>
    <t>T051</t>
  </si>
  <si>
    <t>INS493002</t>
  </si>
  <si>
    <t>T053</t>
  </si>
  <si>
    <t>INS354079</t>
  </si>
  <si>
    <t>T055</t>
  </si>
  <si>
    <t>INS467654</t>
  </si>
  <si>
    <t>T059</t>
  </si>
  <si>
    <t>INS276089</t>
  </si>
  <si>
    <t>T060</t>
  </si>
  <si>
    <t>INS712210</t>
  </si>
  <si>
    <t>T063</t>
  </si>
  <si>
    <t>INS897079</t>
  </si>
  <si>
    <t>T064</t>
  </si>
  <si>
    <t>INS882355</t>
  </si>
  <si>
    <t>T067</t>
  </si>
  <si>
    <t>INS364512</t>
  </si>
  <si>
    <t>T076</t>
  </si>
  <si>
    <t>INS373237</t>
  </si>
  <si>
    <t>T078</t>
  </si>
  <si>
    <t>INS182074</t>
  </si>
  <si>
    <t>T086</t>
  </si>
  <si>
    <t>INS545101</t>
  </si>
  <si>
    <t>T088</t>
  </si>
  <si>
    <t>INS997059</t>
  </si>
  <si>
    <t>T094</t>
  </si>
  <si>
    <t>INS465890</t>
  </si>
  <si>
    <t>T095</t>
  </si>
  <si>
    <t>INS172991</t>
  </si>
  <si>
    <t>T099</t>
  </si>
  <si>
    <t>INS136631</t>
  </si>
  <si>
    <t>T107</t>
  </si>
  <si>
    <t>INS635017</t>
  </si>
  <si>
    <t>T114</t>
  </si>
  <si>
    <t>INS956748</t>
  </si>
  <si>
    <t>T162</t>
  </si>
  <si>
    <t>INS580761</t>
  </si>
  <si>
    <t>T179</t>
  </si>
  <si>
    <t>First_Name2</t>
  </si>
  <si>
    <t>Last_Name3</t>
  </si>
  <si>
    <t>Female</t>
  </si>
  <si>
    <t>Male</t>
  </si>
  <si>
    <t>failed</t>
  </si>
  <si>
    <t>count of payment status</t>
  </si>
  <si>
    <t>central hospita</t>
  </si>
  <si>
    <t>westside clinic</t>
  </si>
  <si>
    <t>Total sum of hospital bramches</t>
  </si>
  <si>
    <t>Average  treatment cost</t>
  </si>
  <si>
    <t>treatment_id</t>
  </si>
  <si>
    <t>appointment_id</t>
  </si>
  <si>
    <t>treatment_type</t>
  </si>
  <si>
    <t>description</t>
  </si>
  <si>
    <t>cost</t>
  </si>
  <si>
    <t>treatment_date</t>
  </si>
  <si>
    <t>T016</t>
  </si>
  <si>
    <t>T018</t>
  </si>
  <si>
    <t>T019</t>
  </si>
  <si>
    <t>T022</t>
  </si>
  <si>
    <t>T027</t>
  </si>
  <si>
    <t>T028</t>
  </si>
  <si>
    <t>T029</t>
  </si>
  <si>
    <t>T030</t>
  </si>
  <si>
    <t>T031</t>
  </si>
  <si>
    <t>T032</t>
  </si>
  <si>
    <t>T034</t>
  </si>
  <si>
    <t>T037</t>
  </si>
  <si>
    <t>T038</t>
  </si>
  <si>
    <t>T041</t>
  </si>
  <si>
    <t>T042</t>
  </si>
  <si>
    <t>T043</t>
  </si>
  <si>
    <t>T045</t>
  </si>
  <si>
    <t>T047</t>
  </si>
  <si>
    <t>T048</t>
  </si>
  <si>
    <t>T049</t>
  </si>
  <si>
    <t>T050</t>
  </si>
  <si>
    <t>T052</t>
  </si>
  <si>
    <t>T054</t>
  </si>
  <si>
    <t>T056</t>
  </si>
  <si>
    <t>T057</t>
  </si>
  <si>
    <t>T058</t>
  </si>
  <si>
    <t>T061</t>
  </si>
  <si>
    <t>T062</t>
  </si>
  <si>
    <t>T065</t>
  </si>
  <si>
    <t>T066</t>
  </si>
  <si>
    <t>T068</t>
  </si>
  <si>
    <t>T069</t>
  </si>
  <si>
    <t>T070</t>
  </si>
  <si>
    <t>T071</t>
  </si>
  <si>
    <t>T072</t>
  </si>
  <si>
    <t>T073</t>
  </si>
  <si>
    <t>T074</t>
  </si>
  <si>
    <t>T075</t>
  </si>
  <si>
    <t>T077</t>
  </si>
  <si>
    <t>T079</t>
  </si>
  <si>
    <t>T080</t>
  </si>
  <si>
    <t>T081</t>
  </si>
  <si>
    <t>T082</t>
  </si>
  <si>
    <t>T083</t>
  </si>
  <si>
    <t>T084</t>
  </si>
  <si>
    <t>T085</t>
  </si>
  <si>
    <t>T087</t>
  </si>
  <si>
    <t>T089</t>
  </si>
  <si>
    <t>T090</t>
  </si>
  <si>
    <t>T091</t>
  </si>
  <si>
    <t>T092</t>
  </si>
  <si>
    <t>T093</t>
  </si>
  <si>
    <t>T096</t>
  </si>
  <si>
    <t>T097</t>
  </si>
  <si>
    <t>T098</t>
  </si>
  <si>
    <t>T100</t>
  </si>
  <si>
    <t>T101</t>
  </si>
  <si>
    <t>T102</t>
  </si>
  <si>
    <t>T103</t>
  </si>
  <si>
    <t>T104</t>
  </si>
  <si>
    <t>T105</t>
  </si>
  <si>
    <t>T106</t>
  </si>
  <si>
    <t>T108</t>
  </si>
  <si>
    <t>T109</t>
  </si>
  <si>
    <t>T110</t>
  </si>
  <si>
    <t>T111</t>
  </si>
  <si>
    <t>T112</t>
  </si>
  <si>
    <t>T113</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</si>
  <si>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</si>
  <si>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</si>
  <si>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</si>
  <si>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</si>
  <si>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</si>
  <si>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</si>
  <si>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</si>
  <si>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</si>
  <si>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</si>
  <si>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</si>
  <si>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</si>
  <si>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</si>
  <si>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</si>
  <si>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</si>
  <si>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</si>
  <si>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</si>
  <si>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</si>
  <si>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</si>
  <si>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</si>
  <si>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</si>
  <si>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</si>
  <si>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</si>
  <si>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</si>
  <si>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</si>
  <si>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</si>
  <si>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</si>
  <si>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</si>
  <si>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</si>
  <si>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</si>
  <si>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</si>
  <si>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</si>
  <si>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</si>
  <si>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</si>
  <si>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</si>
  <si>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</si>
  <si>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</si>
  <si>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</si>
  <si>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</si>
  <si>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</si>
  <si>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</si>
  <si>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</si>
  <si>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</si>
  <si>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</si>
  <si>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</si>
  <si>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</si>
  <si>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</si>
  <si>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</si>
  <si>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T163</t>
  </si>
  <si>
    <t>T164</t>
  </si>
  <si>
    <t>T165</t>
  </si>
  <si>
    <t>T166</t>
  </si>
  <si>
    <t>T167</t>
  </si>
  <si>
    <t>T168</t>
  </si>
  <si>
    <t>T169</t>
  </si>
  <si>
    <t>T170</t>
  </si>
  <si>
    <t>T171</t>
  </si>
  <si>
    <t>T172</t>
  </si>
  <si>
    <t>T173</t>
  </si>
  <si>
    <t>T174</t>
  </si>
  <si>
    <t>T175</t>
  </si>
  <si>
    <t>T176</t>
  </si>
  <si>
    <t>T177</t>
  </si>
  <si>
    <t>T178</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</si>
  <si>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</si>
  <si>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</si>
  <si>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</si>
  <si>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</si>
  <si>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</si>
  <si>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</si>
  <si>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</si>
  <si>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</si>
  <si>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</si>
  <si>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</si>
  <si>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</si>
  <si>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</si>
  <si>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</si>
  <si>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</si>
  <si>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</si>
  <si>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</si>
  <si>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</si>
  <si>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</si>
  <si>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</si>
  <si>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</si>
  <si>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</si>
  <si>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patient_id</t>
  </si>
  <si>
    <t>first_name</t>
  </si>
  <si>
    <t>last_name</t>
  </si>
  <si>
    <t>gender</t>
  </si>
  <si>
    <t>date_of_birth</t>
  </si>
  <si>
    <t>contact_number</t>
  </si>
  <si>
    <t>address</t>
  </si>
  <si>
    <t>registration_date</t>
  </si>
  <si>
    <t>insurance_provider</t>
  </si>
  <si>
    <t>insurance_number</t>
  </si>
  <si>
    <t>email</t>
  </si>
  <si>
    <t>david.williams@mail.com</t>
  </si>
  <si>
    <t>emily.smith@mail.com</t>
  </si>
  <si>
    <t>laura.jones@mail.com</t>
  </si>
  <si>
    <t>michael.johnson@mail.com</t>
  </si>
  <si>
    <t>david.wilson@mail.com</t>
  </si>
  <si>
    <t>P006</t>
  </si>
  <si>
    <t>INS613758</t>
  </si>
  <si>
    <t>linda.jones@mail.com</t>
  </si>
  <si>
    <t>alex.johnson@mail.com</t>
  </si>
  <si>
    <t>david.davis@mail.com</t>
  </si>
  <si>
    <t>laura.davis@mail.com</t>
  </si>
  <si>
    <t>michael.taylor@mail.com</t>
  </si>
  <si>
    <t>emily.jones@mail.com</t>
  </si>
  <si>
    <t>laura.johnson@mail.com</t>
  </si>
  <si>
    <t>alex.taylor@mail.com</t>
  </si>
  <si>
    <t>P015</t>
  </si>
  <si>
    <t>INS922209</t>
  </si>
  <si>
    <t>sarah.johnson@mail.com</t>
  </si>
  <si>
    <t>jane.jones@mail.com</t>
  </si>
  <si>
    <t>laura.wilson@mail.com</t>
  </si>
  <si>
    <t>sarah.miller@mail.com</t>
  </si>
  <si>
    <t>jane.moore@mail.com</t>
  </si>
  <si>
    <t>michael.wilson@mail.com</t>
  </si>
  <si>
    <t>john.brown@mail.com</t>
  </si>
  <si>
    <t>linda.johnson@mail.com</t>
  </si>
  <si>
    <t>sarah.brown@mail.com</t>
  </si>
  <si>
    <t>robert.wilson@mail.com</t>
  </si>
  <si>
    <t>john.taylor@mail.com</t>
  </si>
  <si>
    <t>linda.moore@mail.com</t>
  </si>
  <si>
    <t>alex.moore@mail.com</t>
  </si>
  <si>
    <t>david.smith@mail.com</t>
  </si>
  <si>
    <t>emily.moore@mail.com</t>
  </si>
  <si>
    <t>robert.miller@mail.com</t>
  </si>
  <si>
    <t>alex.smith@mail.com</t>
  </si>
  <si>
    <t>robert.williams@mail.com</t>
  </si>
  <si>
    <t>jane.wilson@mail.com</t>
  </si>
  <si>
    <t>emily.williams@mail.com</t>
  </si>
  <si>
    <t>jane.smith@mail.com</t>
  </si>
  <si>
    <t>linda.brown@mail.com</t>
  </si>
  <si>
    <t>robert.taylor@mail.com</t>
  </si>
  <si>
    <t>linda.miller@mail.com</t>
  </si>
  <si>
    <t>emily.miller@mail.com</t>
  </si>
  <si>
    <t>david.moore@mail.com</t>
  </si>
  <si>
    <t>doctor_id</t>
  </si>
  <si>
    <t>specialization</t>
  </si>
  <si>
    <t>phone_number</t>
  </si>
  <si>
    <t>years_experience</t>
  </si>
  <si>
    <t>hospital_branch</t>
  </si>
  <si>
    <t>dr.david.taylor@hospital.com</t>
  </si>
  <si>
    <t>dr.jane.davis@hospital.com</t>
  </si>
  <si>
    <t>dr.jane.smith@hospital.com</t>
  </si>
  <si>
    <t>dr.david.jones@hospital.com</t>
  </si>
  <si>
    <t>dr.sarah.taylor@hospital.com</t>
  </si>
  <si>
    <t>dr.alex.davis@hospital.com</t>
  </si>
  <si>
    <t>dr.robert.davis@hospital.com</t>
  </si>
  <si>
    <t>dr.linda.brown@hospital.com</t>
  </si>
  <si>
    <t>dr.sarah.smith@hospital.com</t>
  </si>
  <si>
    <t>dr.linda.wilson@hospital.com</t>
  </si>
  <si>
    <t>bill_id</t>
  </si>
  <si>
    <t>bill_date</t>
  </si>
  <si>
    <t>amount</t>
  </si>
  <si>
    <t>payment_method</t>
  </si>
  <si>
    <t>payment_status</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</si>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</sst>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quot;₹&quot;\ #,##0.00"/>
    <numFmt numFmtId="165"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entury"/>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21"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center" vertical="center"/>
    </xf>
    <xf numFmtId="0" fontId="0" fillId="0" borderId="10" xfId="0" applyBorder="1" applyAlignment="1">
      <alignment horizontal="center" vertical="center"/>
    </xf>
    <xf numFmtId="164" fontId="0" fillId="0" borderId="10" xfId="0" applyNumberFormat="1" applyBorder="1" applyAlignment="1">
      <alignment horizontal="center" vertical="center"/>
    </xf>
    <xf numFmtId="0" fontId="0" fillId="0" borderId="0" xfId="0" applyAlignment="1">
      <alignment vertical="center"/>
    </xf>
    <xf numFmtId="0" fontId="0" fillId="0" borderId="10" xfId="0" applyBorder="1"/>
    <xf numFmtId="0" fontId="0" fillId="33" borderId="0" xfId="0" applyFill="1"/>
    <xf numFmtId="0" fontId="0" fillId="36" borderId="11" xfId="0" applyFill="1" applyBorder="1"/>
    <xf numFmtId="14" fontId="0" fillId="36" borderId="11" xfId="0" applyNumberFormat="1" applyFill="1" applyBorder="1"/>
    <xf numFmtId="165" fontId="0" fillId="36" borderId="11" xfId="0" applyNumberFormat="1" applyFill="1" applyBorder="1"/>
    <xf numFmtId="0" fontId="0" fillId="0" borderId="11" xfId="0" applyBorder="1"/>
    <xf numFmtId="14" fontId="0" fillId="0" borderId="11" xfId="0" applyNumberFormat="1" applyBorder="1"/>
    <xf numFmtId="165" fontId="0" fillId="0" borderId="11" xfId="0" applyNumberFormat="1" applyBorder="1"/>
    <xf numFmtId="0" fontId="0" fillId="38" borderId="10" xfId="0" applyFill="1" applyBorder="1"/>
    <xf numFmtId="0" fontId="13" fillId="35" borderId="0" xfId="0" applyFont="1" applyFill="1"/>
    <xf numFmtId="0" fontId="0" fillId="37" borderId="10" xfId="0" applyFill="1" applyBorder="1" applyAlignment="1">
      <alignment horizontal="center" vertical="center"/>
    </xf>
    <xf numFmtId="0" fontId="0" fillId="39" borderId="10" xfId="0" applyFill="1" applyBorder="1" applyAlignment="1">
      <alignment horizontal="center" vertical="center"/>
    </xf>
    <xf numFmtId="0" fontId="0" fillId="39" borderId="10" xfId="0" applyFill="1" applyBorder="1" applyAlignment="1">
      <alignment vertical="center"/>
    </xf>
    <xf numFmtId="0" fontId="18" fillId="34" borderId="0" xfId="0" applyFont="1" applyFill="1" applyAlignment="1">
      <alignment horizontal="center" vertical="center"/>
    </xf>
    <xf numFmtId="0" fontId="0" fillId="38" borderId="0" xfId="0" applyFill="1" applyAlignment="1">
      <alignment horizontal="left" vertical="center"/>
    </xf>
    <xf numFmtId="0" fontId="0" fillId="38" borderId="0" xfId="0" applyFill="1" applyAlignment="1">
      <alignment horizontal="left"/>
    </xf>
    <xf numFmtId="0" fontId="0" fillId="0" borderId="0" xfId="0" applyAlignment="1">
      <alignment horizontal="center" vertical="center"/>
    </xf>
    <xf numFmtId="0" fontId="0" fillId="37" borderId="10"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9" formatCode="dd/mm/yyyy"/>
    </dxf>
    <dxf>
      <numFmt numFmtId="19" formatCode="dd/mm/yyyy"/>
    </dxf>
    <dxf>
      <numFmt numFmtId="19" formatCode="dd/mm/yyyy"/>
    </dxf>
    <dxf>
      <numFmt numFmtId="164" formatCode="&quot;₹&quot;\ #,##0.00"/>
    </dxf>
    <dxf>
      <numFmt numFmtId="19" formatCode="dd/mm/yyyy"/>
    </dxf>
    <dxf>
      <numFmt numFmtId="19" formatCode="dd/mm/yyyy"/>
    </dxf>
    <dxf>
      <numFmt numFmtId="19" formatCode="dd/mm/yyyy"/>
    </dxf>
    <dxf>
      <numFmt numFmtId="164" formatCode="&quot;₹&quot;\ #,##0.00"/>
    </dxf>
    <dxf>
      <numFmt numFmtId="26" formatCode="hh:mm:ss"/>
    </dxf>
    <dxf>
      <numFmt numFmtId="19" formatCode="dd/mm/yyyy"/>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F400]h:mm:ss\ AM/PM"/>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sz val="11"/>
        <color theme="1"/>
      </font>
    </dxf>
    <dxf>
      <fill>
        <gradientFill degree="270">
          <stop position="0">
            <color theme="0"/>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name val="Century"/>
        <family val="1"/>
        <scheme val="none"/>
      </font>
    </dxf>
    <dxf>
      <fill>
        <patternFill patternType="solid">
          <fgColor auto="1"/>
          <bgColor theme="0" tint="-0.14996795556505021"/>
        </patternFill>
      </fill>
    </dxf>
  </dxfs>
  <tableStyles count="2" defaultTableStyle="TableStyleMedium2" defaultPivotStyle="PivotStyleLight16">
    <tableStyle name="Slicer Style 1" pivot="0" table="0" count="4" xr9:uid="{7619D54E-CB9B-4B85-9620-D0EAD0BA99B7}">
      <tableStyleElement type="wholeTable" dxfId="47"/>
      <tableStyleElement type="headerRow" dxfId="46"/>
    </tableStyle>
    <tableStyle name="Timeline Style 1" pivot="0" table="0" count="8" xr9:uid="{8036F21C-B6ED-4EA0-ACA9-316B61F769A9}">
      <tableStyleElement type="wholeTable" dxfId="45"/>
      <tableStyleElement type="headerRow" dxfId="44"/>
    </tableStyle>
  </tableStyles>
  <extLst>
    <ext xmlns:x14="http://schemas.microsoft.com/office/spreadsheetml/2009/9/main" uri="{46F421CA-312F-682f-3DD2-61675219B42D}">
      <x14:dxfs count="2">
        <dxf>
          <font>
            <name val="Century"/>
            <family val="1"/>
            <scheme val="none"/>
          </font>
          <fill>
            <patternFill patternType="solid">
              <fgColor auto="1"/>
              <bgColor theme="9" tint="0.59996337778862885"/>
            </patternFill>
          </fill>
        </dxf>
        <dxf>
          <fill>
            <patternFill patternType="solid">
              <fgColor auto="1"/>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ne.xlsx]pivot!PivotTable1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Total</c:v>
                </c:pt>
              </c:strCache>
            </c:strRef>
          </c:tx>
          <c:spPr>
            <a:solidFill>
              <a:schemeClr val="accent1"/>
            </a:solidFill>
            <a:ln>
              <a:noFill/>
            </a:ln>
            <a:effectLst/>
            <a:sp3d/>
          </c:spPr>
          <c:invertIfNegative val="0"/>
          <c:cat>
            <c:strRef>
              <c:f>pivot!$A$4:$A$7</c:f>
              <c:strCache>
                <c:ptCount val="3"/>
                <c:pt idx="0">
                  <c:v>Central Hospital</c:v>
                </c:pt>
                <c:pt idx="1">
                  <c:v>Eastside Clinic</c:v>
                </c:pt>
                <c:pt idx="2">
                  <c:v>Westside Clinic</c:v>
                </c:pt>
              </c:strCache>
            </c:strRef>
          </c:cat>
          <c:val>
            <c:numRef>
              <c:f>pivot!$B$4:$B$7</c:f>
              <c:numCache>
                <c:formatCode>"₹"\ #,##0.00</c:formatCode>
                <c:ptCount val="3"/>
                <c:pt idx="0">
                  <c:v>204578.95999999988</c:v>
                </c:pt>
                <c:pt idx="1">
                  <c:v>164838.9</c:v>
                </c:pt>
                <c:pt idx="2">
                  <c:v>153002.21</c:v>
                </c:pt>
              </c:numCache>
            </c:numRef>
          </c:val>
          <c:extLst>
            <c:ext xmlns:c16="http://schemas.microsoft.com/office/drawing/2014/chart" uri="{C3380CC4-5D6E-409C-BE32-E72D297353CC}">
              <c16:uniqueId val="{00000000-3A1B-444D-9396-09AB6F353C49}"/>
            </c:ext>
          </c:extLst>
        </c:ser>
        <c:dLbls>
          <c:showLegendKey val="0"/>
          <c:showVal val="0"/>
          <c:showCatName val="0"/>
          <c:showSerName val="0"/>
          <c:showPercent val="0"/>
          <c:showBubbleSize val="0"/>
        </c:dLbls>
        <c:gapWidth val="150"/>
        <c:shape val="box"/>
        <c:axId val="1647308960"/>
        <c:axId val="1439151824"/>
        <c:axId val="0"/>
      </c:bar3DChart>
      <c:catAx>
        <c:axId val="164730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51824"/>
        <c:crosses val="autoZero"/>
        <c:auto val="1"/>
        <c:lblAlgn val="ctr"/>
        <c:lblOffset val="100"/>
        <c:noMultiLvlLbl val="0"/>
      </c:catAx>
      <c:valAx>
        <c:axId val="1439151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ne.xlsx]pivot!PivotTable2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023403324584426"/>
          <c:y val="0.12860892388451445"/>
          <c:w val="0.44126596675415575"/>
          <c:h val="0.75010279965004378"/>
        </c:manualLayout>
      </c:layout>
      <c:bar3DChart>
        <c:barDir val="bar"/>
        <c:grouping val="stacked"/>
        <c:varyColors val="0"/>
        <c:ser>
          <c:idx val="0"/>
          <c:order val="0"/>
          <c:tx>
            <c:strRef>
              <c:f>pivot!$E$6:$E$7</c:f>
              <c:strCache>
                <c:ptCount val="1"/>
                <c:pt idx="0">
                  <c:v>Cash</c:v>
                </c:pt>
              </c:strCache>
            </c:strRef>
          </c:tx>
          <c:spPr>
            <a:solidFill>
              <a:schemeClr val="accent1"/>
            </a:solidFill>
            <a:ln>
              <a:noFill/>
            </a:ln>
            <a:effectLst/>
            <a:sp3d/>
          </c:spPr>
          <c:invertIfNegative val="0"/>
          <c:cat>
            <c:strRef>
              <c:f>pivot!$D$8:$D$12</c:f>
              <c:strCache>
                <c:ptCount val="4"/>
                <c:pt idx="0">
                  <c:v>Cancelled</c:v>
                </c:pt>
                <c:pt idx="1">
                  <c:v>Completed</c:v>
                </c:pt>
                <c:pt idx="2">
                  <c:v>No-show</c:v>
                </c:pt>
                <c:pt idx="3">
                  <c:v>Scheduled</c:v>
                </c:pt>
              </c:strCache>
            </c:strRef>
          </c:cat>
          <c:val>
            <c:numRef>
              <c:f>pivot!$E$8:$E$12</c:f>
              <c:numCache>
                <c:formatCode>General</c:formatCode>
                <c:ptCount val="4"/>
                <c:pt idx="0">
                  <c:v>18</c:v>
                </c:pt>
                <c:pt idx="1">
                  <c:v>15</c:v>
                </c:pt>
                <c:pt idx="2">
                  <c:v>23</c:v>
                </c:pt>
                <c:pt idx="3">
                  <c:v>25</c:v>
                </c:pt>
              </c:numCache>
            </c:numRef>
          </c:val>
          <c:extLst>
            <c:ext xmlns:c16="http://schemas.microsoft.com/office/drawing/2014/chart" uri="{C3380CC4-5D6E-409C-BE32-E72D297353CC}">
              <c16:uniqueId val="{00000000-45A5-445C-9C6D-2F415BAB551E}"/>
            </c:ext>
          </c:extLst>
        </c:ser>
        <c:ser>
          <c:idx val="1"/>
          <c:order val="1"/>
          <c:tx>
            <c:strRef>
              <c:f>pivot!$F$6:$F$7</c:f>
              <c:strCache>
                <c:ptCount val="1"/>
                <c:pt idx="0">
                  <c:v>Credit Card</c:v>
                </c:pt>
              </c:strCache>
            </c:strRef>
          </c:tx>
          <c:spPr>
            <a:solidFill>
              <a:schemeClr val="accent2"/>
            </a:solidFill>
            <a:ln>
              <a:noFill/>
            </a:ln>
            <a:effectLst/>
            <a:sp3d/>
          </c:spPr>
          <c:invertIfNegative val="0"/>
          <c:cat>
            <c:strRef>
              <c:f>pivot!$D$8:$D$12</c:f>
              <c:strCache>
                <c:ptCount val="4"/>
                <c:pt idx="0">
                  <c:v>Cancelled</c:v>
                </c:pt>
                <c:pt idx="1">
                  <c:v>Completed</c:v>
                </c:pt>
                <c:pt idx="2">
                  <c:v>No-show</c:v>
                </c:pt>
                <c:pt idx="3">
                  <c:v>Scheduled</c:v>
                </c:pt>
              </c:strCache>
            </c:strRef>
          </c:cat>
          <c:val>
            <c:numRef>
              <c:f>pivot!$F$8:$F$12</c:f>
              <c:numCache>
                <c:formatCode>General</c:formatCode>
                <c:ptCount val="4"/>
                <c:pt idx="0">
                  <c:v>17</c:v>
                </c:pt>
                <c:pt idx="1">
                  <c:v>14</c:v>
                </c:pt>
                <c:pt idx="2">
                  <c:v>11</c:v>
                </c:pt>
                <c:pt idx="3">
                  <c:v>8</c:v>
                </c:pt>
              </c:numCache>
            </c:numRef>
          </c:val>
          <c:extLst>
            <c:ext xmlns:c16="http://schemas.microsoft.com/office/drawing/2014/chart" uri="{C3380CC4-5D6E-409C-BE32-E72D297353CC}">
              <c16:uniqueId val="{00000005-D0ED-4CE9-A968-5B936DE757FE}"/>
            </c:ext>
          </c:extLst>
        </c:ser>
        <c:ser>
          <c:idx val="2"/>
          <c:order val="2"/>
          <c:tx>
            <c:strRef>
              <c:f>pivot!$G$6:$G$7</c:f>
              <c:strCache>
                <c:ptCount val="1"/>
                <c:pt idx="0">
                  <c:v>Insurance</c:v>
                </c:pt>
              </c:strCache>
            </c:strRef>
          </c:tx>
          <c:spPr>
            <a:solidFill>
              <a:schemeClr val="accent3"/>
            </a:solidFill>
            <a:ln>
              <a:noFill/>
            </a:ln>
            <a:effectLst/>
            <a:sp3d/>
          </c:spPr>
          <c:invertIfNegative val="0"/>
          <c:cat>
            <c:strRef>
              <c:f>pivot!$D$8:$D$12</c:f>
              <c:strCache>
                <c:ptCount val="4"/>
                <c:pt idx="0">
                  <c:v>Cancelled</c:v>
                </c:pt>
                <c:pt idx="1">
                  <c:v>Completed</c:v>
                </c:pt>
                <c:pt idx="2">
                  <c:v>No-show</c:v>
                </c:pt>
                <c:pt idx="3">
                  <c:v>Scheduled</c:v>
                </c:pt>
              </c:strCache>
            </c:strRef>
          </c:cat>
          <c:val>
            <c:numRef>
              <c:f>pivot!$G$8:$G$12</c:f>
              <c:numCache>
                <c:formatCode>General</c:formatCode>
                <c:ptCount val="4"/>
                <c:pt idx="0">
                  <c:v>16</c:v>
                </c:pt>
                <c:pt idx="1">
                  <c:v>17</c:v>
                </c:pt>
                <c:pt idx="2">
                  <c:v>18</c:v>
                </c:pt>
                <c:pt idx="3">
                  <c:v>18</c:v>
                </c:pt>
              </c:numCache>
            </c:numRef>
          </c:val>
          <c:extLst>
            <c:ext xmlns:c16="http://schemas.microsoft.com/office/drawing/2014/chart" uri="{C3380CC4-5D6E-409C-BE32-E72D297353CC}">
              <c16:uniqueId val="{00000000-90DE-44D1-9205-B03CD3835B32}"/>
            </c:ext>
          </c:extLst>
        </c:ser>
        <c:dLbls>
          <c:showLegendKey val="0"/>
          <c:showVal val="0"/>
          <c:showCatName val="0"/>
          <c:showSerName val="0"/>
          <c:showPercent val="0"/>
          <c:showBubbleSize val="0"/>
        </c:dLbls>
        <c:gapWidth val="150"/>
        <c:shape val="box"/>
        <c:axId val="1657767840"/>
        <c:axId val="1439123024"/>
        <c:axId val="0"/>
      </c:bar3DChart>
      <c:catAx>
        <c:axId val="165776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23024"/>
        <c:crosses val="autoZero"/>
        <c:auto val="1"/>
        <c:lblAlgn val="ctr"/>
        <c:lblOffset val="100"/>
        <c:noMultiLvlLbl val="0"/>
      </c:catAx>
      <c:valAx>
        <c:axId val="1439123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ne.xlsx]pivot!PivotTable3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pivotFmt>
      <c:pivotFmt>
        <c:idx val="1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328484981044037"/>
          <c:w val="0.68055555555555558"/>
          <c:h val="0.59421733741615634"/>
        </c:manualLayout>
      </c:layout>
      <c:pie3DChart>
        <c:varyColors val="1"/>
        <c:ser>
          <c:idx val="0"/>
          <c:order val="0"/>
          <c:tx>
            <c:strRef>
              <c:f>pivot!$B$13:$B$14</c:f>
              <c:strCache>
                <c:ptCount val="1"/>
                <c:pt idx="0">
                  <c:v>Central Hospital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33-4CF9-9988-28C19B5683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33-4CF9-9988-28C19B5683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33-4CF9-9988-28C19B5683D9}"/>
              </c:ext>
            </c:extLst>
          </c:dPt>
          <c:cat>
            <c:strRef>
              <c:f>pivot!$A$15:$A$18</c:f>
              <c:strCache>
                <c:ptCount val="3"/>
                <c:pt idx="0">
                  <c:v>Dermatology</c:v>
                </c:pt>
                <c:pt idx="1">
                  <c:v>Oncology</c:v>
                </c:pt>
                <c:pt idx="2">
                  <c:v>Pediatrics</c:v>
                </c:pt>
              </c:strCache>
            </c:strRef>
          </c:cat>
          <c:val>
            <c:numRef>
              <c:f>pivot!$B$15:$B$18</c:f>
              <c:numCache>
                <c:formatCode>"₹"\ #,##0.00</c:formatCode>
                <c:ptCount val="3"/>
                <c:pt idx="0">
                  <c:v>82696.479999999996</c:v>
                </c:pt>
                <c:pt idx="2">
                  <c:v>146342.95999999996</c:v>
                </c:pt>
              </c:numCache>
            </c:numRef>
          </c:val>
          <c:extLst>
            <c:ext xmlns:c16="http://schemas.microsoft.com/office/drawing/2014/chart" uri="{C3380CC4-5D6E-409C-BE32-E72D297353CC}">
              <c16:uniqueId val="{0000001B-97C5-4CD4-B71F-1380AAA888CD}"/>
            </c:ext>
          </c:extLst>
        </c:ser>
        <c:ser>
          <c:idx val="1"/>
          <c:order val="1"/>
          <c:tx>
            <c:strRef>
              <c:f>pivot!$C$13:$C$14</c:f>
              <c:strCache>
                <c:ptCount val="1"/>
                <c:pt idx="0">
                  <c:v>Eastside Clinic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6E-4107-967D-30FF67A7B04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6E-4107-967D-30FF67A7B04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4C6E-4107-967D-30FF67A7B04B}"/>
              </c:ext>
            </c:extLst>
          </c:dPt>
          <c:cat>
            <c:strRef>
              <c:f>pivot!$A$15:$A$18</c:f>
              <c:strCache>
                <c:ptCount val="3"/>
                <c:pt idx="0">
                  <c:v>Dermatology</c:v>
                </c:pt>
                <c:pt idx="1">
                  <c:v>Oncology</c:v>
                </c:pt>
                <c:pt idx="2">
                  <c:v>Pediatrics</c:v>
                </c:pt>
              </c:strCache>
            </c:strRef>
          </c:cat>
          <c:val>
            <c:numRef>
              <c:f>pivot!$C$15:$C$18</c:f>
              <c:numCache>
                <c:formatCode>"₹"\ #,##0.00</c:formatCode>
                <c:ptCount val="3"/>
                <c:pt idx="1">
                  <c:v>49436.23</c:v>
                </c:pt>
                <c:pt idx="2">
                  <c:v>112594.87</c:v>
                </c:pt>
              </c:numCache>
            </c:numRef>
          </c:val>
          <c:extLst>
            <c:ext xmlns:c16="http://schemas.microsoft.com/office/drawing/2014/chart" uri="{C3380CC4-5D6E-409C-BE32-E72D297353CC}">
              <c16:uniqueId val="{00000015-7F04-4398-B498-CAE1C90EAC0F}"/>
            </c:ext>
          </c:extLst>
        </c:ser>
        <c:ser>
          <c:idx val="2"/>
          <c:order val="2"/>
          <c:tx>
            <c:strRef>
              <c:f>pivot!$D$13:$D$14</c:f>
              <c:strCache>
                <c:ptCount val="1"/>
                <c:pt idx="0">
                  <c:v>Westside Clinic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D7AB-4EBA-AE46-266CCF08F2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D7AB-4EBA-AE46-266CCF08F2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D7AB-4EBA-AE46-266CCF08F295}"/>
              </c:ext>
            </c:extLst>
          </c:dPt>
          <c:cat>
            <c:strRef>
              <c:f>pivot!$A$15:$A$18</c:f>
              <c:strCache>
                <c:ptCount val="3"/>
                <c:pt idx="0">
                  <c:v>Dermatology</c:v>
                </c:pt>
                <c:pt idx="1">
                  <c:v>Oncology</c:v>
                </c:pt>
                <c:pt idx="2">
                  <c:v>Pediatrics</c:v>
                </c:pt>
              </c:strCache>
            </c:strRef>
          </c:cat>
          <c:val>
            <c:numRef>
              <c:f>pivot!$D$15:$D$18</c:f>
              <c:numCache>
                <c:formatCode>"₹"\ #,##0.00</c:formatCode>
                <c:ptCount val="3"/>
                <c:pt idx="0">
                  <c:v>120012.81</c:v>
                </c:pt>
                <c:pt idx="1">
                  <c:v>40166.5</c:v>
                </c:pt>
              </c:numCache>
            </c:numRef>
          </c:val>
          <c:extLst>
            <c:ext xmlns:c16="http://schemas.microsoft.com/office/drawing/2014/chart" uri="{C3380CC4-5D6E-409C-BE32-E72D297353CC}">
              <c16:uniqueId val="{00000012-4C6E-4107-967D-30FF67A7B04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ne.xlsx]pivot!PivotTable5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919308870963892E-2"/>
          <c:y val="0.16529725313360885"/>
          <c:w val="0.53937268964595386"/>
          <c:h val="0.51882820835456844"/>
        </c:manualLayout>
      </c:layout>
      <c:bar3DChart>
        <c:barDir val="col"/>
        <c:grouping val="standard"/>
        <c:varyColors val="0"/>
        <c:ser>
          <c:idx val="0"/>
          <c:order val="0"/>
          <c:tx>
            <c:strRef>
              <c:f>pivot!$K$7:$K$8</c:f>
              <c:strCache>
                <c:ptCount val="1"/>
                <c:pt idx="0">
                  <c:v>Central Hospital</c:v>
                </c:pt>
              </c:strCache>
            </c:strRef>
          </c:tx>
          <c:spPr>
            <a:solidFill>
              <a:schemeClr val="accent1"/>
            </a:solidFill>
            <a:ln>
              <a:noFill/>
            </a:ln>
            <a:effectLst/>
            <a:sp3d/>
          </c:spPr>
          <c:invertIfNegative val="0"/>
          <c:cat>
            <c:strRef>
              <c:f>pivot!$J$9:$J$12</c:f>
              <c:strCache>
                <c:ptCount val="3"/>
                <c:pt idx="0">
                  <c:v>Dermatology</c:v>
                </c:pt>
                <c:pt idx="1">
                  <c:v>Oncology</c:v>
                </c:pt>
                <c:pt idx="2">
                  <c:v>Pediatrics</c:v>
                </c:pt>
              </c:strCache>
            </c:strRef>
          </c:cat>
          <c:val>
            <c:numRef>
              <c:f>pivot!$K$9:$K$12</c:f>
              <c:numCache>
                <c:formatCode>General</c:formatCode>
                <c:ptCount val="3"/>
                <c:pt idx="0">
                  <c:v>29</c:v>
                </c:pt>
                <c:pt idx="2">
                  <c:v>55</c:v>
                </c:pt>
              </c:numCache>
            </c:numRef>
          </c:val>
          <c:extLst>
            <c:ext xmlns:c16="http://schemas.microsoft.com/office/drawing/2014/chart" uri="{C3380CC4-5D6E-409C-BE32-E72D297353CC}">
              <c16:uniqueId val="{00000000-8336-4C43-B117-B1BECE0898E7}"/>
            </c:ext>
          </c:extLst>
        </c:ser>
        <c:ser>
          <c:idx val="1"/>
          <c:order val="1"/>
          <c:tx>
            <c:strRef>
              <c:f>pivot!$L$7:$L$8</c:f>
              <c:strCache>
                <c:ptCount val="1"/>
                <c:pt idx="0">
                  <c:v>Eastside Clinic</c:v>
                </c:pt>
              </c:strCache>
            </c:strRef>
          </c:tx>
          <c:spPr>
            <a:solidFill>
              <a:schemeClr val="accent2"/>
            </a:solidFill>
            <a:ln>
              <a:noFill/>
            </a:ln>
            <a:effectLst/>
            <a:sp3d/>
          </c:spPr>
          <c:invertIfNegative val="0"/>
          <c:cat>
            <c:strRef>
              <c:f>pivot!$J$9:$J$12</c:f>
              <c:strCache>
                <c:ptCount val="3"/>
                <c:pt idx="0">
                  <c:v>Dermatology</c:v>
                </c:pt>
                <c:pt idx="1">
                  <c:v>Oncology</c:v>
                </c:pt>
                <c:pt idx="2">
                  <c:v>Pediatrics</c:v>
                </c:pt>
              </c:strCache>
            </c:strRef>
          </c:cat>
          <c:val>
            <c:numRef>
              <c:f>pivot!$L$9:$L$12</c:f>
              <c:numCache>
                <c:formatCode>General</c:formatCode>
                <c:ptCount val="3"/>
                <c:pt idx="1">
                  <c:v>19</c:v>
                </c:pt>
                <c:pt idx="2">
                  <c:v>43</c:v>
                </c:pt>
              </c:numCache>
            </c:numRef>
          </c:val>
          <c:extLst>
            <c:ext xmlns:c16="http://schemas.microsoft.com/office/drawing/2014/chart" uri="{C3380CC4-5D6E-409C-BE32-E72D297353CC}">
              <c16:uniqueId val="{00000003-DE4D-4255-9C17-2D0C5E1E6910}"/>
            </c:ext>
          </c:extLst>
        </c:ser>
        <c:ser>
          <c:idx val="2"/>
          <c:order val="2"/>
          <c:tx>
            <c:strRef>
              <c:f>pivot!$M$7:$M$8</c:f>
              <c:strCache>
                <c:ptCount val="1"/>
                <c:pt idx="0">
                  <c:v>Westside Clinic</c:v>
                </c:pt>
              </c:strCache>
            </c:strRef>
          </c:tx>
          <c:spPr>
            <a:solidFill>
              <a:schemeClr val="accent3"/>
            </a:solidFill>
            <a:ln>
              <a:noFill/>
            </a:ln>
            <a:effectLst/>
            <a:sp3d/>
          </c:spPr>
          <c:invertIfNegative val="0"/>
          <c:cat>
            <c:strRef>
              <c:f>pivot!$J$9:$J$12</c:f>
              <c:strCache>
                <c:ptCount val="3"/>
                <c:pt idx="0">
                  <c:v>Dermatology</c:v>
                </c:pt>
                <c:pt idx="1">
                  <c:v>Oncology</c:v>
                </c:pt>
                <c:pt idx="2">
                  <c:v>Pediatrics</c:v>
                </c:pt>
              </c:strCache>
            </c:strRef>
          </c:cat>
          <c:val>
            <c:numRef>
              <c:f>pivot!$M$9:$M$12</c:f>
              <c:numCache>
                <c:formatCode>General</c:formatCode>
                <c:ptCount val="3"/>
                <c:pt idx="0">
                  <c:v>41</c:v>
                </c:pt>
                <c:pt idx="1">
                  <c:v>13</c:v>
                </c:pt>
              </c:numCache>
            </c:numRef>
          </c:val>
          <c:extLst>
            <c:ext xmlns:c16="http://schemas.microsoft.com/office/drawing/2014/chart" uri="{C3380CC4-5D6E-409C-BE32-E72D297353CC}">
              <c16:uniqueId val="{00000000-7C85-49BB-B9C6-63CB5CCA2581}"/>
            </c:ext>
          </c:extLst>
        </c:ser>
        <c:dLbls>
          <c:showLegendKey val="0"/>
          <c:showVal val="0"/>
          <c:showCatName val="0"/>
          <c:showSerName val="0"/>
          <c:showPercent val="0"/>
          <c:showBubbleSize val="0"/>
        </c:dLbls>
        <c:gapWidth val="150"/>
        <c:shape val="box"/>
        <c:axId val="158888703"/>
        <c:axId val="41970159"/>
        <c:axId val="1955096111"/>
      </c:bar3DChart>
      <c:catAx>
        <c:axId val="15888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0159"/>
        <c:crosses val="autoZero"/>
        <c:auto val="1"/>
        <c:lblAlgn val="ctr"/>
        <c:lblOffset val="100"/>
        <c:noMultiLvlLbl val="0"/>
      </c:catAx>
      <c:valAx>
        <c:axId val="4197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88703"/>
        <c:crosses val="autoZero"/>
        <c:crossBetween val="between"/>
      </c:valAx>
      <c:serAx>
        <c:axId val="19550961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01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[appointments ne.xlsx]pivot!PivotTable1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 BRANCHES</a:t>
            </a:r>
          </a:p>
        </c:rich>
      </c:tx>
      <c:layout>
        <c:manualLayout>
          <c:xMode val="edge"/>
          <c:yMode val="edge"/>
          <c:x val="0.27250609220665178"/>
          <c:y val="0.1370467053672064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cat>
            <c:strRef>
              <c:f>pivot!$A$4:$A$7</c:f>
              <c:strCache>
                <c:ptCount val="3"/>
                <c:pt idx="0">
                  <c:v>Central Hospital</c:v>
                </c:pt>
                <c:pt idx="1">
                  <c:v>Eastside Clinic</c:v>
                </c:pt>
                <c:pt idx="2">
                  <c:v>Westside Clinic</c:v>
                </c:pt>
              </c:strCache>
            </c:strRef>
          </c:cat>
          <c:val>
            <c:numRef>
              <c:f>pivot!$B$4:$B$7</c:f>
              <c:numCache>
                <c:formatCode>"₹"\ #,##0.00</c:formatCode>
                <c:ptCount val="3"/>
                <c:pt idx="0">
                  <c:v>204578.95999999988</c:v>
                </c:pt>
                <c:pt idx="1">
                  <c:v>164838.9</c:v>
                </c:pt>
                <c:pt idx="2">
                  <c:v>153002.21</c:v>
                </c:pt>
              </c:numCache>
            </c:numRef>
          </c:val>
          <c:extLst>
            <c:ext xmlns:c16="http://schemas.microsoft.com/office/drawing/2014/chart" uri="{C3380CC4-5D6E-409C-BE32-E72D297353CC}">
              <c16:uniqueId val="{00000000-D904-40F4-9945-D38F568A72FC}"/>
            </c:ext>
          </c:extLst>
        </c:ser>
        <c:dLbls>
          <c:showLegendKey val="0"/>
          <c:showVal val="0"/>
          <c:showCatName val="0"/>
          <c:showSerName val="0"/>
          <c:showPercent val="0"/>
          <c:showBubbleSize val="0"/>
        </c:dLbls>
        <c:gapWidth val="65"/>
        <c:axId val="1647308960"/>
        <c:axId val="1439151824"/>
      </c:barChart>
      <c:catAx>
        <c:axId val="1647308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151824"/>
        <c:crosses val="autoZero"/>
        <c:auto val="1"/>
        <c:lblAlgn val="ctr"/>
        <c:lblOffset val="100"/>
        <c:noMultiLvlLbl val="0"/>
      </c:catAx>
      <c:valAx>
        <c:axId val="14391518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647308960"/>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[appointments ne.xlsx]pivot!PivotTable2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PAYMENT METHOD</a:t>
            </a:r>
            <a:r>
              <a:rPr lang="en-US" sz="1400" baseline="0"/>
              <a:t> </a:t>
            </a:r>
            <a:r>
              <a:rPr lang="en-US" sz="1400"/>
              <a:t>STATUS</a:t>
            </a:r>
          </a:p>
        </c:rich>
      </c:tx>
      <c:layout>
        <c:manualLayout>
          <c:xMode val="edge"/>
          <c:yMode val="edge"/>
          <c:x val="0.26597897051181435"/>
          <c:y val="3.6007086450931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34514435695541"/>
          <c:y val="0.16109380826003991"/>
          <c:w val="0.44126596675415575"/>
          <c:h val="0.75010279965004378"/>
        </c:manualLayout>
      </c:layout>
      <c:barChart>
        <c:barDir val="bar"/>
        <c:grouping val="clustered"/>
        <c:varyColors val="0"/>
        <c:ser>
          <c:idx val="0"/>
          <c:order val="0"/>
          <c:tx>
            <c:strRef>
              <c:f>pivot!$E$6:$E$7</c:f>
              <c:strCache>
                <c:ptCount val="1"/>
                <c:pt idx="0">
                  <c:v>Cash</c:v>
                </c:pt>
              </c:strCache>
            </c:strRef>
          </c:tx>
          <c:spPr>
            <a:solidFill>
              <a:schemeClr val="accent6">
                <a:shade val="65000"/>
                <a:alpha val="85000"/>
              </a:schemeClr>
            </a:solidFill>
            <a:ln w="9525" cap="flat" cmpd="sng" algn="ctr">
              <a:solidFill>
                <a:schemeClr val="lt1">
                  <a:alpha val="50000"/>
                </a:schemeClr>
              </a:solidFill>
              <a:round/>
            </a:ln>
            <a:effectLst/>
          </c:spPr>
          <c:invertIfNegative val="0"/>
          <c:cat>
            <c:strRef>
              <c:f>pivot!$D$8:$D$12</c:f>
              <c:strCache>
                <c:ptCount val="4"/>
                <c:pt idx="0">
                  <c:v>Cancelled</c:v>
                </c:pt>
                <c:pt idx="1">
                  <c:v>Completed</c:v>
                </c:pt>
                <c:pt idx="2">
                  <c:v>No-show</c:v>
                </c:pt>
                <c:pt idx="3">
                  <c:v>Scheduled</c:v>
                </c:pt>
              </c:strCache>
            </c:strRef>
          </c:cat>
          <c:val>
            <c:numRef>
              <c:f>pivot!$E$8:$E$12</c:f>
              <c:numCache>
                <c:formatCode>General</c:formatCode>
                <c:ptCount val="4"/>
                <c:pt idx="0">
                  <c:v>18</c:v>
                </c:pt>
                <c:pt idx="1">
                  <c:v>15</c:v>
                </c:pt>
                <c:pt idx="2">
                  <c:v>23</c:v>
                </c:pt>
                <c:pt idx="3">
                  <c:v>25</c:v>
                </c:pt>
              </c:numCache>
            </c:numRef>
          </c:val>
          <c:extLst>
            <c:ext xmlns:c16="http://schemas.microsoft.com/office/drawing/2014/chart" uri="{C3380CC4-5D6E-409C-BE32-E72D297353CC}">
              <c16:uniqueId val="{00000000-601E-484F-BEC4-0F91C8F345DF}"/>
            </c:ext>
          </c:extLst>
        </c:ser>
        <c:ser>
          <c:idx val="1"/>
          <c:order val="1"/>
          <c:tx>
            <c:strRef>
              <c:f>pivot!$F$6:$F$7</c:f>
              <c:strCache>
                <c:ptCount val="1"/>
                <c:pt idx="0">
                  <c:v>Credit Card</c:v>
                </c:pt>
              </c:strCache>
            </c:strRef>
          </c:tx>
          <c:spPr>
            <a:solidFill>
              <a:schemeClr val="accent6">
                <a:alpha val="85000"/>
              </a:schemeClr>
            </a:solidFill>
            <a:ln w="9525" cap="flat" cmpd="sng" algn="ctr">
              <a:solidFill>
                <a:schemeClr val="lt1">
                  <a:alpha val="50000"/>
                </a:schemeClr>
              </a:solidFill>
              <a:round/>
            </a:ln>
            <a:effectLst/>
          </c:spPr>
          <c:invertIfNegative val="0"/>
          <c:cat>
            <c:strRef>
              <c:f>pivot!$D$8:$D$12</c:f>
              <c:strCache>
                <c:ptCount val="4"/>
                <c:pt idx="0">
                  <c:v>Cancelled</c:v>
                </c:pt>
                <c:pt idx="1">
                  <c:v>Completed</c:v>
                </c:pt>
                <c:pt idx="2">
                  <c:v>No-show</c:v>
                </c:pt>
                <c:pt idx="3">
                  <c:v>Scheduled</c:v>
                </c:pt>
              </c:strCache>
            </c:strRef>
          </c:cat>
          <c:val>
            <c:numRef>
              <c:f>pivot!$F$8:$F$12</c:f>
              <c:numCache>
                <c:formatCode>General</c:formatCode>
                <c:ptCount val="4"/>
                <c:pt idx="0">
                  <c:v>17</c:v>
                </c:pt>
                <c:pt idx="1">
                  <c:v>14</c:v>
                </c:pt>
                <c:pt idx="2">
                  <c:v>11</c:v>
                </c:pt>
                <c:pt idx="3">
                  <c:v>8</c:v>
                </c:pt>
              </c:numCache>
            </c:numRef>
          </c:val>
          <c:extLst>
            <c:ext xmlns:c16="http://schemas.microsoft.com/office/drawing/2014/chart" uri="{C3380CC4-5D6E-409C-BE32-E72D297353CC}">
              <c16:uniqueId val="{00000005-39F5-4EEC-A66C-2ED079A5283A}"/>
            </c:ext>
          </c:extLst>
        </c:ser>
        <c:ser>
          <c:idx val="2"/>
          <c:order val="2"/>
          <c:tx>
            <c:strRef>
              <c:f>pivot!$G$6:$G$7</c:f>
              <c:strCache>
                <c:ptCount val="1"/>
                <c:pt idx="0">
                  <c:v>Insurance</c:v>
                </c:pt>
              </c:strCache>
            </c:strRef>
          </c:tx>
          <c:spPr>
            <a:solidFill>
              <a:schemeClr val="accent6">
                <a:tint val="65000"/>
                <a:alpha val="85000"/>
              </a:schemeClr>
            </a:solidFill>
            <a:ln w="9525" cap="flat" cmpd="sng" algn="ctr">
              <a:solidFill>
                <a:schemeClr val="lt1">
                  <a:alpha val="50000"/>
                </a:schemeClr>
              </a:solidFill>
              <a:round/>
            </a:ln>
            <a:effectLst/>
          </c:spPr>
          <c:invertIfNegative val="0"/>
          <c:cat>
            <c:strRef>
              <c:f>pivot!$D$8:$D$12</c:f>
              <c:strCache>
                <c:ptCount val="4"/>
                <c:pt idx="0">
                  <c:v>Cancelled</c:v>
                </c:pt>
                <c:pt idx="1">
                  <c:v>Completed</c:v>
                </c:pt>
                <c:pt idx="2">
                  <c:v>No-show</c:v>
                </c:pt>
                <c:pt idx="3">
                  <c:v>Scheduled</c:v>
                </c:pt>
              </c:strCache>
            </c:strRef>
          </c:cat>
          <c:val>
            <c:numRef>
              <c:f>pivot!$G$8:$G$12</c:f>
              <c:numCache>
                <c:formatCode>General</c:formatCode>
                <c:ptCount val="4"/>
                <c:pt idx="0">
                  <c:v>16</c:v>
                </c:pt>
                <c:pt idx="1">
                  <c:v>17</c:v>
                </c:pt>
                <c:pt idx="2">
                  <c:v>18</c:v>
                </c:pt>
                <c:pt idx="3">
                  <c:v>18</c:v>
                </c:pt>
              </c:numCache>
            </c:numRef>
          </c:val>
          <c:extLst>
            <c:ext xmlns:c16="http://schemas.microsoft.com/office/drawing/2014/chart" uri="{C3380CC4-5D6E-409C-BE32-E72D297353CC}">
              <c16:uniqueId val="{00000001-F33D-4A0E-936A-69FC19F4779F}"/>
            </c:ext>
          </c:extLst>
        </c:ser>
        <c:dLbls>
          <c:showLegendKey val="0"/>
          <c:showVal val="0"/>
          <c:showCatName val="0"/>
          <c:showSerName val="0"/>
          <c:showPercent val="0"/>
          <c:showBubbleSize val="0"/>
        </c:dLbls>
        <c:gapWidth val="65"/>
        <c:axId val="1657767840"/>
        <c:axId val="1439123024"/>
      </c:barChart>
      <c:catAx>
        <c:axId val="16577678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123024"/>
        <c:crosses val="autoZero"/>
        <c:auto val="1"/>
        <c:lblAlgn val="ctr"/>
        <c:lblOffset val="100"/>
        <c:noMultiLvlLbl val="0"/>
      </c:catAx>
      <c:valAx>
        <c:axId val="14391230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776784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[appointments ne.xlsx]pivot!PivotTable3</c:name>
    <c:fmtId val="3"/>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specialised</a:t>
            </a:r>
            <a:r>
              <a:rPr lang="en-IN" sz="1400" baseline="0"/>
              <a:t> cost of hospital branches</a:t>
            </a:r>
          </a:p>
        </c:rich>
      </c:tx>
      <c:layout>
        <c:manualLayout>
          <c:xMode val="edge"/>
          <c:yMode val="edge"/>
          <c:x val="0.22390499817684278"/>
          <c:y val="3.277957036472474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accent6"/>
          </a:solidFill>
          <a:ln>
            <a:noFill/>
          </a:ln>
          <a:effectLst>
            <a:outerShdw blurRad="254000" sx="102000" sy="102000" algn="ctr" rotWithShape="0">
              <a:prstClr val="black">
                <a:alpha val="20000"/>
              </a:prstClr>
            </a:outerShdw>
          </a:effectLst>
        </c:spPr>
      </c:pivotFmt>
      <c:pivotFmt>
        <c:idx val="21"/>
        <c:spPr>
          <a:solidFill>
            <a:schemeClr val="accent6"/>
          </a:solidFill>
          <a:ln>
            <a:noFill/>
          </a:ln>
          <a:effectLst>
            <a:outerShdw blurRad="254000" sx="102000" sy="102000" algn="ctr" rotWithShape="0">
              <a:prstClr val="black">
                <a:alpha val="20000"/>
              </a:prstClr>
            </a:outerShdw>
          </a:effectLst>
        </c:spPr>
      </c:pivotFmt>
      <c:pivotFmt>
        <c:idx val="22"/>
        <c:spPr>
          <a:solidFill>
            <a:schemeClr val="accent6"/>
          </a:solidFill>
          <a:ln>
            <a:noFill/>
          </a:ln>
          <a:effectLst>
            <a:outerShdw blurRad="254000" sx="102000" sy="102000" algn="ctr" rotWithShape="0">
              <a:prstClr val="black">
                <a:alpha val="20000"/>
              </a:prstClr>
            </a:outerShdw>
          </a:effectLst>
        </c:spPr>
      </c:pivotFmt>
      <c:pivotFmt>
        <c:idx val="2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6"/>
          </a:solidFill>
          <a:ln>
            <a:noFill/>
          </a:ln>
          <a:effectLst>
            <a:outerShdw blurRad="254000" sx="102000" sy="102000" algn="ctr" rotWithShape="0">
              <a:prstClr val="black">
                <a:alpha val="20000"/>
              </a:prstClr>
            </a:outerShdw>
          </a:effectLst>
        </c:spPr>
      </c:pivotFmt>
      <c:pivotFmt>
        <c:idx val="26"/>
        <c:spPr>
          <a:solidFill>
            <a:schemeClr val="accent6"/>
          </a:solidFill>
          <a:ln>
            <a:noFill/>
          </a:ln>
          <a:effectLst>
            <a:outerShdw blurRad="254000" sx="102000" sy="102000" algn="ctr" rotWithShape="0">
              <a:prstClr val="black">
                <a:alpha val="20000"/>
              </a:prstClr>
            </a:outerShdw>
          </a:effectLst>
        </c:spPr>
      </c:pivotFmt>
      <c:pivotFmt>
        <c:idx val="27"/>
        <c:spPr>
          <a:solidFill>
            <a:schemeClr val="accent6"/>
          </a:solidFill>
          <a:ln>
            <a:noFill/>
          </a:ln>
          <a:effectLst>
            <a:outerShdw blurRad="254000" sx="102000" sy="102000" algn="ctr" rotWithShape="0">
              <a:prstClr val="black">
                <a:alpha val="20000"/>
              </a:prstClr>
            </a:outerShdw>
          </a:effectLst>
        </c:spPr>
      </c:pivotFmt>
      <c:pivotFmt>
        <c:idx val="2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spPr>
          <a:solidFill>
            <a:schemeClr val="accent6"/>
          </a:solidFill>
          <a:ln>
            <a:noFill/>
          </a:ln>
          <a:effectLst>
            <a:outerShdw blurRad="254000" sx="102000" sy="102000" algn="ctr" rotWithShape="0">
              <a:prstClr val="black">
                <a:alpha val="20000"/>
              </a:prstClr>
            </a:outerShdw>
          </a:effectLst>
        </c:spPr>
      </c:pivotFmt>
      <c:pivotFmt>
        <c:idx val="31"/>
        <c:spPr>
          <a:solidFill>
            <a:schemeClr val="accent6"/>
          </a:solidFill>
          <a:ln>
            <a:noFill/>
          </a:ln>
          <a:effectLst>
            <a:outerShdw blurRad="254000" sx="102000" sy="102000" algn="ctr" rotWithShape="0">
              <a:prstClr val="black">
                <a:alpha val="20000"/>
              </a:prstClr>
            </a:outerShdw>
          </a:effectLst>
        </c:spPr>
      </c:pivotFmt>
      <c:pivotFmt>
        <c:idx val="32"/>
        <c:spPr>
          <a:solidFill>
            <a:schemeClr val="accent6"/>
          </a:solidFill>
          <a:ln>
            <a:noFill/>
          </a:ln>
          <a:effectLst>
            <a:outerShdw blurRad="254000" sx="102000" sy="102000" algn="ctr" rotWithShape="0">
              <a:prstClr val="black">
                <a:alpha val="20000"/>
              </a:prstClr>
            </a:outerShdw>
          </a:effectLst>
        </c:spPr>
      </c:pivotFmt>
      <c:pivotFmt>
        <c:idx val="33"/>
        <c:spPr>
          <a:solidFill>
            <a:schemeClr val="accent6"/>
          </a:solidFill>
          <a:ln>
            <a:noFill/>
          </a:ln>
          <a:effectLst>
            <a:outerShdw blurRad="254000" sx="102000" sy="102000" algn="ctr"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328484981044037"/>
          <c:w val="0.68055555555555558"/>
          <c:h val="0.59421733741615634"/>
        </c:manualLayout>
      </c:layout>
      <c:barChart>
        <c:barDir val="col"/>
        <c:grouping val="stacked"/>
        <c:varyColors val="0"/>
        <c:ser>
          <c:idx val="0"/>
          <c:order val="0"/>
          <c:tx>
            <c:strRef>
              <c:f>pivot!$B$13:$B$14</c:f>
              <c:strCache>
                <c:ptCount val="1"/>
                <c:pt idx="0">
                  <c:v>Central Hospital</c:v>
                </c:pt>
              </c:strCache>
            </c:strRef>
          </c:tx>
          <c:spPr>
            <a:solidFill>
              <a:schemeClr val="accent6">
                <a:shade val="65000"/>
              </a:schemeClr>
            </a:solidFill>
            <a:ln>
              <a:noFill/>
            </a:ln>
            <a:effectLst>
              <a:outerShdw blurRad="254000" sx="102000" sy="102000" algn="ctr" rotWithShape="0">
                <a:prstClr val="black">
                  <a:alpha val="20000"/>
                </a:prstClr>
              </a:outerShdw>
            </a:effectLst>
          </c:spPr>
          <c:invertIfNegative val="0"/>
          <c:cat>
            <c:strRef>
              <c:f>pivot!$A$15:$A$18</c:f>
              <c:strCache>
                <c:ptCount val="3"/>
                <c:pt idx="0">
                  <c:v>Dermatology</c:v>
                </c:pt>
                <c:pt idx="1">
                  <c:v>Oncology</c:v>
                </c:pt>
                <c:pt idx="2">
                  <c:v>Pediatrics</c:v>
                </c:pt>
              </c:strCache>
            </c:strRef>
          </c:cat>
          <c:val>
            <c:numRef>
              <c:f>pivot!$B$15:$B$18</c:f>
              <c:numCache>
                <c:formatCode>"₹"\ #,##0.00</c:formatCode>
                <c:ptCount val="3"/>
                <c:pt idx="0">
                  <c:v>82696.479999999996</c:v>
                </c:pt>
                <c:pt idx="2">
                  <c:v>146342.95999999996</c:v>
                </c:pt>
              </c:numCache>
            </c:numRef>
          </c:val>
          <c:extLst>
            <c:ext xmlns:c16="http://schemas.microsoft.com/office/drawing/2014/chart" uri="{C3380CC4-5D6E-409C-BE32-E72D297353CC}">
              <c16:uniqueId val="{00000007-F7B9-4EC8-9DCC-CA1E8E45B877}"/>
            </c:ext>
          </c:extLst>
        </c:ser>
        <c:ser>
          <c:idx val="1"/>
          <c:order val="1"/>
          <c:tx>
            <c:strRef>
              <c:f>pivot!$C$13:$C$14</c:f>
              <c:strCache>
                <c:ptCount val="1"/>
                <c:pt idx="0">
                  <c:v>Eastside Clinic</c:v>
                </c:pt>
              </c:strCache>
            </c:strRef>
          </c:tx>
          <c:spPr>
            <a:solidFill>
              <a:schemeClr val="accent6"/>
            </a:solidFill>
            <a:ln>
              <a:noFill/>
            </a:ln>
            <a:effectLst>
              <a:outerShdw blurRad="254000" sx="102000" sy="102000" algn="ctr" rotWithShape="0">
                <a:prstClr val="black">
                  <a:alpha val="20000"/>
                </a:prstClr>
              </a:outerShdw>
            </a:effectLst>
          </c:spPr>
          <c:invertIfNegative val="0"/>
          <c:cat>
            <c:strRef>
              <c:f>pivot!$A$15:$A$18</c:f>
              <c:strCache>
                <c:ptCount val="3"/>
                <c:pt idx="0">
                  <c:v>Dermatology</c:v>
                </c:pt>
                <c:pt idx="1">
                  <c:v>Oncology</c:v>
                </c:pt>
                <c:pt idx="2">
                  <c:v>Pediatrics</c:v>
                </c:pt>
              </c:strCache>
            </c:strRef>
          </c:cat>
          <c:val>
            <c:numRef>
              <c:f>pivot!$C$15:$C$18</c:f>
              <c:numCache>
                <c:formatCode>"₹"\ #,##0.00</c:formatCode>
                <c:ptCount val="3"/>
                <c:pt idx="1">
                  <c:v>49436.23</c:v>
                </c:pt>
                <c:pt idx="2">
                  <c:v>112594.87</c:v>
                </c:pt>
              </c:numCache>
            </c:numRef>
          </c:val>
          <c:extLst>
            <c:ext xmlns:c16="http://schemas.microsoft.com/office/drawing/2014/chart" uri="{C3380CC4-5D6E-409C-BE32-E72D297353CC}">
              <c16:uniqueId val="{00000003-3D61-41FA-8547-C1C25D87F6AF}"/>
            </c:ext>
          </c:extLst>
        </c:ser>
        <c:ser>
          <c:idx val="2"/>
          <c:order val="2"/>
          <c:tx>
            <c:strRef>
              <c:f>pivot!$D$13:$D$14</c:f>
              <c:strCache>
                <c:ptCount val="1"/>
                <c:pt idx="0">
                  <c:v>Westside Clinic</c:v>
                </c:pt>
              </c:strCache>
            </c:strRef>
          </c:tx>
          <c:spPr>
            <a:solidFill>
              <a:schemeClr val="accent6">
                <a:tint val="65000"/>
              </a:schemeClr>
            </a:solidFill>
            <a:ln>
              <a:noFill/>
            </a:ln>
            <a:effectLst>
              <a:outerShdw blurRad="254000" sx="102000" sy="102000" algn="ctr" rotWithShape="0">
                <a:prstClr val="black">
                  <a:alpha val="20000"/>
                </a:prstClr>
              </a:outerShdw>
            </a:effectLst>
          </c:spPr>
          <c:invertIfNegative val="0"/>
          <c:cat>
            <c:strRef>
              <c:f>pivot!$A$15:$A$18</c:f>
              <c:strCache>
                <c:ptCount val="3"/>
                <c:pt idx="0">
                  <c:v>Dermatology</c:v>
                </c:pt>
                <c:pt idx="1">
                  <c:v>Oncology</c:v>
                </c:pt>
                <c:pt idx="2">
                  <c:v>Pediatrics</c:v>
                </c:pt>
              </c:strCache>
            </c:strRef>
          </c:cat>
          <c:val>
            <c:numRef>
              <c:f>pivot!$D$15:$D$18</c:f>
              <c:numCache>
                <c:formatCode>"₹"\ #,##0.00</c:formatCode>
                <c:ptCount val="3"/>
                <c:pt idx="0">
                  <c:v>120012.81</c:v>
                </c:pt>
                <c:pt idx="1">
                  <c:v>40166.5</c:v>
                </c:pt>
              </c:numCache>
            </c:numRef>
          </c:val>
          <c:extLst>
            <c:ext xmlns:c16="http://schemas.microsoft.com/office/drawing/2014/chart" uri="{C3380CC4-5D6E-409C-BE32-E72D297353CC}">
              <c16:uniqueId val="{00000001-C9ED-4046-96DD-90B3221F04CC}"/>
            </c:ext>
          </c:extLst>
        </c:ser>
        <c:dLbls>
          <c:showLegendKey val="0"/>
          <c:showVal val="0"/>
          <c:showCatName val="0"/>
          <c:showSerName val="0"/>
          <c:showPercent val="0"/>
          <c:showBubbleSize val="0"/>
        </c:dLbls>
        <c:gapWidth val="100"/>
        <c:overlap val="100"/>
        <c:axId val="973074591"/>
        <c:axId val="784781135"/>
      </c:barChart>
      <c:catAx>
        <c:axId val="97307459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4781135"/>
        <c:crosses val="autoZero"/>
        <c:auto val="1"/>
        <c:lblAlgn val="ctr"/>
        <c:lblOffset val="100"/>
        <c:noMultiLvlLbl val="0"/>
      </c:catAx>
      <c:valAx>
        <c:axId val="7847811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307459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[appointments ne.xlsx]pivot!PivotTable5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COUNT OF APPOINTMENT </a:t>
            </a:r>
          </a:p>
        </c:rich>
      </c:tx>
      <c:layout>
        <c:manualLayout>
          <c:xMode val="edge"/>
          <c:yMode val="edge"/>
          <c:x val="0.26571922207024345"/>
          <c:y val="0.1095326528748306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pivot!$K$7:$K$8</c:f>
              <c:strCache>
                <c:ptCount val="1"/>
                <c:pt idx="0">
                  <c:v>Central Hospital</c:v>
                </c:pt>
              </c:strCache>
            </c:strRef>
          </c:tx>
          <c:spPr>
            <a:solidFill>
              <a:schemeClr val="accent6">
                <a:shade val="65000"/>
                <a:alpha val="85000"/>
              </a:schemeClr>
            </a:solidFill>
            <a:ln w="9525" cap="flat" cmpd="sng" algn="ctr">
              <a:solidFill>
                <a:schemeClr val="accent6">
                  <a:shade val="65000"/>
                  <a:lumMod val="75000"/>
                </a:schemeClr>
              </a:solidFill>
              <a:round/>
            </a:ln>
            <a:effectLst/>
            <a:sp3d contourW="9525">
              <a:contourClr>
                <a:schemeClr val="accent6">
                  <a:shade val="65000"/>
                  <a:lumMod val="75000"/>
                </a:schemeClr>
              </a:contourClr>
            </a:sp3d>
          </c:spPr>
          <c:invertIfNegative val="0"/>
          <c:cat>
            <c:strRef>
              <c:f>pivot!$J$9:$J$12</c:f>
              <c:strCache>
                <c:ptCount val="3"/>
                <c:pt idx="0">
                  <c:v>Dermatology</c:v>
                </c:pt>
                <c:pt idx="1">
                  <c:v>Oncology</c:v>
                </c:pt>
                <c:pt idx="2">
                  <c:v>Pediatrics</c:v>
                </c:pt>
              </c:strCache>
            </c:strRef>
          </c:cat>
          <c:val>
            <c:numRef>
              <c:f>pivot!$K$9:$K$12</c:f>
              <c:numCache>
                <c:formatCode>General</c:formatCode>
                <c:ptCount val="3"/>
                <c:pt idx="0">
                  <c:v>29</c:v>
                </c:pt>
                <c:pt idx="2">
                  <c:v>55</c:v>
                </c:pt>
              </c:numCache>
            </c:numRef>
          </c:val>
          <c:extLst>
            <c:ext xmlns:c16="http://schemas.microsoft.com/office/drawing/2014/chart" uri="{C3380CC4-5D6E-409C-BE32-E72D297353CC}">
              <c16:uniqueId val="{00000000-ABC6-4A0F-AFB0-3EC2B5D33933}"/>
            </c:ext>
          </c:extLst>
        </c:ser>
        <c:ser>
          <c:idx val="1"/>
          <c:order val="1"/>
          <c:tx>
            <c:strRef>
              <c:f>pivot!$L$7:$L$8</c:f>
              <c:strCache>
                <c:ptCount val="1"/>
                <c:pt idx="0">
                  <c:v>Eastside Clinic</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pivot!$J$9:$J$12</c:f>
              <c:strCache>
                <c:ptCount val="3"/>
                <c:pt idx="0">
                  <c:v>Dermatology</c:v>
                </c:pt>
                <c:pt idx="1">
                  <c:v>Oncology</c:v>
                </c:pt>
                <c:pt idx="2">
                  <c:v>Pediatrics</c:v>
                </c:pt>
              </c:strCache>
            </c:strRef>
          </c:cat>
          <c:val>
            <c:numRef>
              <c:f>pivot!$L$9:$L$12</c:f>
              <c:numCache>
                <c:formatCode>General</c:formatCode>
                <c:ptCount val="3"/>
                <c:pt idx="1">
                  <c:v>19</c:v>
                </c:pt>
                <c:pt idx="2">
                  <c:v>43</c:v>
                </c:pt>
              </c:numCache>
            </c:numRef>
          </c:val>
          <c:extLst>
            <c:ext xmlns:c16="http://schemas.microsoft.com/office/drawing/2014/chart" uri="{C3380CC4-5D6E-409C-BE32-E72D297353CC}">
              <c16:uniqueId val="{00000003-2E32-4C4D-8EED-3DE79AD3AD34}"/>
            </c:ext>
          </c:extLst>
        </c:ser>
        <c:ser>
          <c:idx val="2"/>
          <c:order val="2"/>
          <c:tx>
            <c:strRef>
              <c:f>pivot!$M$7:$M$8</c:f>
              <c:strCache>
                <c:ptCount val="1"/>
                <c:pt idx="0">
                  <c:v>Westside Clinic</c:v>
                </c:pt>
              </c:strCache>
            </c:strRef>
          </c:tx>
          <c:spPr>
            <a:solidFill>
              <a:schemeClr val="accent6">
                <a:tint val="65000"/>
                <a:alpha val="85000"/>
              </a:schemeClr>
            </a:solidFill>
            <a:ln w="9525" cap="flat" cmpd="sng" algn="ctr">
              <a:solidFill>
                <a:schemeClr val="accent6">
                  <a:tint val="65000"/>
                  <a:lumMod val="75000"/>
                </a:schemeClr>
              </a:solidFill>
              <a:round/>
            </a:ln>
            <a:effectLst/>
            <a:sp3d contourW="9525">
              <a:contourClr>
                <a:schemeClr val="accent6">
                  <a:tint val="65000"/>
                  <a:lumMod val="75000"/>
                </a:schemeClr>
              </a:contourClr>
            </a:sp3d>
          </c:spPr>
          <c:invertIfNegative val="0"/>
          <c:cat>
            <c:strRef>
              <c:f>pivot!$J$9:$J$12</c:f>
              <c:strCache>
                <c:ptCount val="3"/>
                <c:pt idx="0">
                  <c:v>Dermatology</c:v>
                </c:pt>
                <c:pt idx="1">
                  <c:v>Oncology</c:v>
                </c:pt>
                <c:pt idx="2">
                  <c:v>Pediatrics</c:v>
                </c:pt>
              </c:strCache>
            </c:strRef>
          </c:cat>
          <c:val>
            <c:numRef>
              <c:f>pivot!$M$9:$M$12</c:f>
              <c:numCache>
                <c:formatCode>General</c:formatCode>
                <c:ptCount val="3"/>
                <c:pt idx="0">
                  <c:v>41</c:v>
                </c:pt>
                <c:pt idx="1">
                  <c:v>13</c:v>
                </c:pt>
              </c:numCache>
            </c:numRef>
          </c:val>
          <c:extLst>
            <c:ext xmlns:c16="http://schemas.microsoft.com/office/drawing/2014/chart" uri="{C3380CC4-5D6E-409C-BE32-E72D297353CC}">
              <c16:uniqueId val="{00000001-9469-406C-8A9A-7714C6971596}"/>
            </c:ext>
          </c:extLst>
        </c:ser>
        <c:dLbls>
          <c:showLegendKey val="0"/>
          <c:showVal val="0"/>
          <c:showCatName val="0"/>
          <c:showSerName val="0"/>
          <c:showPercent val="0"/>
          <c:showBubbleSize val="0"/>
        </c:dLbls>
        <c:gapWidth val="65"/>
        <c:shape val="box"/>
        <c:axId val="158888703"/>
        <c:axId val="41970159"/>
        <c:axId val="0"/>
      </c:bar3DChart>
      <c:catAx>
        <c:axId val="158888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970159"/>
        <c:crosses val="autoZero"/>
        <c:auto val="1"/>
        <c:lblAlgn val="ctr"/>
        <c:lblOffset val="100"/>
        <c:noMultiLvlLbl val="0"/>
      </c:catAx>
      <c:valAx>
        <c:axId val="419701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88870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50061</xdr:colOff>
      <xdr:row>52</xdr:row>
      <xdr:rowOff>27007</xdr:rowOff>
    </xdr:from>
    <xdr:to>
      <xdr:col>14</xdr:col>
      <xdr:colOff>335569</xdr:colOff>
      <xdr:row>67</xdr:row>
      <xdr:rowOff>27008</xdr:rowOff>
    </xdr:to>
    <xdr:graphicFrame macro="">
      <xdr:nvGraphicFramePr>
        <xdr:cNvPr id="2" name="Chart 1">
          <a:extLst>
            <a:ext uri="{FF2B5EF4-FFF2-40B4-BE49-F238E27FC236}">
              <a16:creationId xmlns:a16="http://schemas.microsoft.com/office/drawing/2014/main" id="{0F75B302-9858-2CED-0200-C67CD4ABF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774539</xdr:colOff>
      <xdr:row>36</xdr:row>
      <xdr:rowOff>125392</xdr:rowOff>
    </xdr:from>
    <xdr:to>
      <xdr:col>10</xdr:col>
      <xdr:colOff>482279</xdr:colOff>
      <xdr:row>50</xdr:row>
      <xdr:rowOff>154908</xdr:rowOff>
    </xdr:to>
    <xdr:graphicFrame macro="">
      <xdr:nvGraphicFramePr>
        <xdr:cNvPr id="4" name="Chart 3">
          <a:extLst>
            <a:ext uri="{FF2B5EF4-FFF2-40B4-BE49-F238E27FC236}">
              <a16:creationId xmlns:a16="http://schemas.microsoft.com/office/drawing/2014/main" id="{44B6F12B-EBC5-A4AE-997D-17F8B035D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846301</xdr:colOff>
      <xdr:row>19</xdr:row>
      <xdr:rowOff>37618</xdr:rowOff>
    </xdr:from>
    <xdr:to>
      <xdr:col>11</xdr:col>
      <xdr:colOff>243742</xdr:colOff>
      <xdr:row>34</xdr:row>
      <xdr:rowOff>37619</xdr:rowOff>
    </xdr:to>
    <xdr:graphicFrame macro="">
      <xdr:nvGraphicFramePr>
        <xdr:cNvPr id="5" name="Chart 4">
          <a:extLst>
            <a:ext uri="{FF2B5EF4-FFF2-40B4-BE49-F238E27FC236}">
              <a16:creationId xmlns:a16="http://schemas.microsoft.com/office/drawing/2014/main" id="{6374AA59-918D-CD59-CD1E-966718E91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20</xdr:row>
      <xdr:rowOff>121341</xdr:rowOff>
    </xdr:from>
    <xdr:to>
      <xdr:col>1</xdr:col>
      <xdr:colOff>793637</xdr:colOff>
      <xdr:row>34</xdr:row>
      <xdr:rowOff>27610</xdr:rowOff>
    </xdr:to>
    <mc:AlternateContent xmlns:mc="http://schemas.openxmlformats.org/markup-compatibility/2006" xmlns:a14="http://schemas.microsoft.com/office/drawing/2010/main">
      <mc:Choice Requires="a14">
        <xdr:graphicFrame macro="">
          <xdr:nvGraphicFramePr>
            <xdr:cNvPr id="10" name="Treatment_Type">
              <a:extLst>
                <a:ext uri="{FF2B5EF4-FFF2-40B4-BE49-F238E27FC236}">
                  <a16:creationId xmlns:a16="http://schemas.microsoft.com/office/drawing/2014/main" id="{BCD6EF18-5C6E-E728-5C61-EF28D49C4277}"/>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0" y="3786657"/>
              <a:ext cx="1825713" cy="2471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167254</xdr:colOff>
      <xdr:row>35</xdr:row>
      <xdr:rowOff>20932</xdr:rowOff>
    </xdr:from>
    <xdr:to>
      <xdr:col>4</xdr:col>
      <xdr:colOff>163300</xdr:colOff>
      <xdr:row>48</xdr:row>
      <xdr:rowOff>110854</xdr:rowOff>
    </xdr:to>
    <mc:AlternateContent xmlns:mc="http://schemas.openxmlformats.org/markup-compatibility/2006" xmlns:a14="http://schemas.microsoft.com/office/drawing/2010/main">
      <mc:Choice Requires="a14">
        <xdr:graphicFrame macro="">
          <xdr:nvGraphicFramePr>
            <xdr:cNvPr id="3" name="First_Name">
              <a:extLst>
                <a:ext uri="{FF2B5EF4-FFF2-40B4-BE49-F238E27FC236}">
                  <a16:creationId xmlns:a16="http://schemas.microsoft.com/office/drawing/2014/main" id="{B8C7E8C9-A392-6553-3E60-90C492FEE289}"/>
                </a:ext>
              </a:extLst>
            </xdr:cNvPr>
            <xdr:cNvGraphicFramePr/>
          </xdr:nvGraphicFramePr>
          <xdr:xfrm>
            <a:off x="0" y="0"/>
            <a:ext cx="0" cy="0"/>
          </xdr:xfrm>
          <a:graphic>
            <a:graphicData uri="http://schemas.microsoft.com/office/drawing/2010/slicer">
              <sle:slicer xmlns:sle="http://schemas.microsoft.com/office/drawing/2010/slicer" name="First_Name"/>
            </a:graphicData>
          </a:graphic>
        </xdr:graphicFrame>
      </mc:Choice>
      <mc:Fallback xmlns="">
        <xdr:sp macro="" textlink="">
          <xdr:nvSpPr>
            <xdr:cNvPr id="0" name=""/>
            <xdr:cNvSpPr>
              <a:spLocks noTextEdit="1"/>
            </xdr:cNvSpPr>
          </xdr:nvSpPr>
          <xdr:spPr>
            <a:xfrm>
              <a:off x="2192824" y="6435236"/>
              <a:ext cx="1828704" cy="2472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361516</xdr:colOff>
      <xdr:row>19</xdr:row>
      <xdr:rowOff>91921</xdr:rowOff>
    </xdr:from>
    <xdr:to>
      <xdr:col>18</xdr:col>
      <xdr:colOff>276733</xdr:colOff>
      <xdr:row>34</xdr:row>
      <xdr:rowOff>91921</xdr:rowOff>
    </xdr:to>
    <xdr:graphicFrame macro="">
      <xdr:nvGraphicFramePr>
        <xdr:cNvPr id="8" name="Chart 7">
          <a:extLst>
            <a:ext uri="{FF2B5EF4-FFF2-40B4-BE49-F238E27FC236}">
              <a16:creationId xmlns:a16="http://schemas.microsoft.com/office/drawing/2014/main" id="{B36402BB-D3BD-F7A7-8985-F150BCE4E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254450</xdr:colOff>
      <xdr:row>20</xdr:row>
      <xdr:rowOff>140728</xdr:rowOff>
    </xdr:from>
    <xdr:to>
      <xdr:col>4</xdr:col>
      <xdr:colOff>250592</xdr:colOff>
      <xdr:row>34</xdr:row>
      <xdr:rowOff>47383</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85598413-D266-3B09-008A-380A2A3870B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280020" y="3806044"/>
              <a:ext cx="1828800" cy="2472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255126</xdr:colOff>
      <xdr:row>38</xdr:row>
      <xdr:rowOff>23439</xdr:rowOff>
    </xdr:from>
    <xdr:to>
      <xdr:col>17</xdr:col>
      <xdr:colOff>2604</xdr:colOff>
      <xdr:row>45</xdr:row>
      <xdr:rowOff>115265</xdr:rowOff>
    </xdr:to>
    <mc:AlternateContent xmlns:mc="http://schemas.openxmlformats.org/markup-compatibility/2006">
      <mc:Choice xmlns:tsle="http://schemas.microsoft.com/office/drawing/2012/timeslicer" Requires="tsle">
        <xdr:graphicFrame macro="">
          <xdr:nvGraphicFramePr>
            <xdr:cNvPr id="7" name="Bill_Date">
              <a:extLst>
                <a:ext uri="{FF2B5EF4-FFF2-40B4-BE49-F238E27FC236}">
                  <a16:creationId xmlns:a16="http://schemas.microsoft.com/office/drawing/2014/main" id="{F169B616-3513-5983-9CD7-D11A97DFD711}"/>
                </a:ext>
              </a:extLst>
            </xdr:cNvPr>
            <xdr:cNvGraphicFramePr/>
          </xdr:nvGraphicFramePr>
          <xdr:xfrm>
            <a:off x="0" y="0"/>
            <a:ext cx="0" cy="0"/>
          </xdr:xfrm>
          <a:graphic>
            <a:graphicData uri="http://schemas.microsoft.com/office/drawing/2012/timeslicer">
              <tsle:timeslicer xmlns:tsle="http://schemas.microsoft.com/office/drawing/2012/timeslicer" name="Bill_Date"/>
            </a:graphicData>
          </a:graphic>
        </xdr:graphicFrame>
      </mc:Choice>
      <mc:Fallback>
        <xdr:sp macro="" textlink="">
          <xdr:nvSpPr>
            <xdr:cNvPr id="0" name=""/>
            <xdr:cNvSpPr>
              <a:spLocks noTextEdit="1"/>
            </xdr:cNvSpPr>
          </xdr:nvSpPr>
          <xdr:spPr>
            <a:xfrm>
              <a:off x="12061303" y="6987540"/>
              <a:ext cx="3325985" cy="13746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7620</xdr:colOff>
      <xdr:row>34</xdr:row>
      <xdr:rowOff>148928</xdr:rowOff>
    </xdr:from>
    <xdr:to>
      <xdr:col>1</xdr:col>
      <xdr:colOff>804344</xdr:colOff>
      <xdr:row>48</xdr:row>
      <xdr:rowOff>50182</xdr:rowOff>
    </xdr:to>
    <mc:AlternateContent xmlns:mc="http://schemas.openxmlformats.org/markup-compatibility/2006" xmlns:a14="http://schemas.microsoft.com/office/drawing/2010/main">
      <mc:Choice Requires="a14">
        <xdr:graphicFrame macro="">
          <xdr:nvGraphicFramePr>
            <xdr:cNvPr id="9" name="Insurance_Provider">
              <a:extLst>
                <a:ext uri="{FF2B5EF4-FFF2-40B4-BE49-F238E27FC236}">
                  <a16:creationId xmlns:a16="http://schemas.microsoft.com/office/drawing/2014/main" id="{6DA47D1E-BD8A-CFD1-E69E-62F0BE46FC43}"/>
                </a:ext>
              </a:extLst>
            </xdr:cNvPr>
            <xdr:cNvGraphicFramePr/>
          </xdr:nvGraphicFramePr>
          <xdr:xfrm>
            <a:off x="0" y="0"/>
            <a:ext cx="0" cy="0"/>
          </xdr:xfrm>
          <a:graphic>
            <a:graphicData uri="http://schemas.microsoft.com/office/drawing/2010/slicer">
              <sle:slicer xmlns:sle="http://schemas.microsoft.com/office/drawing/2010/slicer" name="Insurance_Provider"/>
            </a:graphicData>
          </a:graphic>
        </xdr:graphicFrame>
      </mc:Choice>
      <mc:Fallback xmlns="">
        <xdr:sp macro="" textlink="">
          <xdr:nvSpPr>
            <xdr:cNvPr id="0" name=""/>
            <xdr:cNvSpPr>
              <a:spLocks noTextEdit="1"/>
            </xdr:cNvSpPr>
          </xdr:nvSpPr>
          <xdr:spPr>
            <a:xfrm>
              <a:off x="7620" y="637996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266492</xdr:colOff>
      <xdr:row>23</xdr:row>
      <xdr:rowOff>156657</xdr:rowOff>
    </xdr:from>
    <xdr:to>
      <xdr:col>17</xdr:col>
      <xdr:colOff>50749</xdr:colOff>
      <xdr:row>38</xdr:row>
      <xdr:rowOff>69303</xdr:rowOff>
    </xdr:to>
    <xdr:graphicFrame macro="">
      <xdr:nvGraphicFramePr>
        <xdr:cNvPr id="2" name="Chart 1">
          <a:extLst>
            <a:ext uri="{FF2B5EF4-FFF2-40B4-BE49-F238E27FC236}">
              <a16:creationId xmlns:a16="http://schemas.microsoft.com/office/drawing/2014/main" id="{1F9190D7-F15D-40DB-9CF6-273FBA1CF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163204</xdr:colOff>
      <xdr:row>24</xdr:row>
      <xdr:rowOff>72207</xdr:rowOff>
    </xdr:from>
    <xdr:to>
      <xdr:col>25</xdr:col>
      <xdr:colOff>484394</xdr:colOff>
      <xdr:row>38</xdr:row>
      <xdr:rowOff>113559</xdr:rowOff>
    </xdr:to>
    <xdr:graphicFrame macro="">
      <xdr:nvGraphicFramePr>
        <xdr:cNvPr id="4" name="Chart 3">
          <a:extLst>
            <a:ext uri="{FF2B5EF4-FFF2-40B4-BE49-F238E27FC236}">
              <a16:creationId xmlns:a16="http://schemas.microsoft.com/office/drawing/2014/main" id="{442AFE77-E53A-4472-8D9C-DDA2289B0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204711</xdr:colOff>
      <xdr:row>40</xdr:row>
      <xdr:rowOff>74987</xdr:rowOff>
    </xdr:from>
    <xdr:to>
      <xdr:col>17</xdr:col>
      <xdr:colOff>35378</xdr:colOff>
      <xdr:row>56</xdr:row>
      <xdr:rowOff>108036</xdr:rowOff>
    </xdr:to>
    <xdr:graphicFrame macro="">
      <xdr:nvGraphicFramePr>
        <xdr:cNvPr id="5" name="Chart 4">
          <a:extLst>
            <a:ext uri="{FF2B5EF4-FFF2-40B4-BE49-F238E27FC236}">
              <a16:creationId xmlns:a16="http://schemas.microsoft.com/office/drawing/2014/main" id="{CD48473E-3E3F-4167-918F-F68DE4E26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180875</xdr:colOff>
      <xdr:row>40</xdr:row>
      <xdr:rowOff>20167</xdr:rowOff>
    </xdr:from>
    <xdr:to>
      <xdr:col>5</xdr:col>
      <xdr:colOff>176695</xdr:colOff>
      <xdr:row>51</xdr:row>
      <xdr:rowOff>33130</xdr:rowOff>
    </xdr:to>
    <mc:AlternateContent xmlns:mc="http://schemas.openxmlformats.org/markup-compatibility/2006">
      <mc:Choice xmlns:a14="http://schemas.microsoft.com/office/drawing/2010/main" Requires="a14">
        <xdr:graphicFrame macro="">
          <xdr:nvGraphicFramePr>
            <xdr:cNvPr id="8" name="Treatment_Type 1">
              <a:extLst>
                <a:ext uri="{FF2B5EF4-FFF2-40B4-BE49-F238E27FC236}">
                  <a16:creationId xmlns:a16="http://schemas.microsoft.com/office/drawing/2014/main" id="{0C1E1420-91BF-43F7-930B-FD4E445029E1}"/>
                </a:ext>
              </a:extLst>
            </xdr:cNvPr>
            <xdr:cNvGraphicFramePr/>
          </xdr:nvGraphicFramePr>
          <xdr:xfrm>
            <a:off x="0" y="0"/>
            <a:ext cx="0" cy="0"/>
          </xdr:xfrm>
          <a:graphic>
            <a:graphicData uri="http://schemas.microsoft.com/office/drawing/2010/slicer">
              <sle:slicer xmlns:sle="http://schemas.microsoft.com/office/drawing/2010/slicer" name="Treatment_Type 1"/>
            </a:graphicData>
          </a:graphic>
        </xdr:graphicFrame>
      </mc:Choice>
      <mc:Fallback>
        <xdr:sp macro="" textlink="">
          <xdr:nvSpPr>
            <xdr:cNvPr id="0" name=""/>
            <xdr:cNvSpPr>
              <a:spLocks noTextEdit="1"/>
            </xdr:cNvSpPr>
          </xdr:nvSpPr>
          <xdr:spPr>
            <a:xfrm>
              <a:off x="1395658" y="7529732"/>
              <a:ext cx="1817994" cy="2078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464661</xdr:colOff>
      <xdr:row>40</xdr:row>
      <xdr:rowOff>62485</xdr:rowOff>
    </xdr:from>
    <xdr:to>
      <xdr:col>8</xdr:col>
      <xdr:colOff>464660</xdr:colOff>
      <xdr:row>51</xdr:row>
      <xdr:rowOff>126930</xdr:rowOff>
    </xdr:to>
    <mc:AlternateContent xmlns:mc="http://schemas.openxmlformats.org/markup-compatibility/2006" xmlns:a14="http://schemas.microsoft.com/office/drawing/2010/main">
      <mc:Choice Requires="a14">
        <xdr:graphicFrame macro="">
          <xdr:nvGraphicFramePr>
            <xdr:cNvPr id="3" name="First_Name 1">
              <a:extLst>
                <a:ext uri="{FF2B5EF4-FFF2-40B4-BE49-F238E27FC236}">
                  <a16:creationId xmlns:a16="http://schemas.microsoft.com/office/drawing/2014/main" id="{C90D12C0-55D4-480E-AE36-507FA15D2EF3}"/>
                </a:ext>
              </a:extLst>
            </xdr:cNvPr>
            <xdr:cNvGraphicFramePr/>
          </xdr:nvGraphicFramePr>
          <xdr:xfrm>
            <a:off x="0" y="0"/>
            <a:ext cx="0" cy="0"/>
          </xdr:xfrm>
          <a:graphic>
            <a:graphicData uri="http://schemas.microsoft.com/office/drawing/2010/slicer">
              <sle:slicer xmlns:sle="http://schemas.microsoft.com/office/drawing/2010/slicer" name="First_Name 1"/>
            </a:graphicData>
          </a:graphic>
        </xdr:graphicFrame>
      </mc:Choice>
      <mc:Fallback xmlns="">
        <xdr:sp macro="" textlink="">
          <xdr:nvSpPr>
            <xdr:cNvPr id="0" name=""/>
            <xdr:cNvSpPr>
              <a:spLocks noTextEdit="1"/>
            </xdr:cNvSpPr>
          </xdr:nvSpPr>
          <xdr:spPr>
            <a:xfrm>
              <a:off x="3501618" y="7572050"/>
              <a:ext cx="1822172" cy="2129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198137</xdr:colOff>
      <xdr:row>40</xdr:row>
      <xdr:rowOff>150254</xdr:rowOff>
    </xdr:from>
    <xdr:to>
      <xdr:col>25</xdr:col>
      <xdr:colOff>552878</xdr:colOff>
      <xdr:row>56</xdr:row>
      <xdr:rowOff>179043</xdr:rowOff>
    </xdr:to>
    <xdr:graphicFrame macro="">
      <xdr:nvGraphicFramePr>
        <xdr:cNvPr id="6" name="Chart 5">
          <a:extLst>
            <a:ext uri="{FF2B5EF4-FFF2-40B4-BE49-F238E27FC236}">
              <a16:creationId xmlns:a16="http://schemas.microsoft.com/office/drawing/2014/main" id="{7CEEA5D9-03AB-4B6D-90D0-F2F7C98EF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553216</xdr:colOff>
      <xdr:row>12</xdr:row>
      <xdr:rowOff>80482</xdr:rowOff>
    </xdr:from>
    <xdr:to>
      <xdr:col>25</xdr:col>
      <xdr:colOff>331304</xdr:colOff>
      <xdr:row>21</xdr:row>
      <xdr:rowOff>66261</xdr:rowOff>
    </xdr:to>
    <mc:AlternateContent xmlns:mc="http://schemas.openxmlformats.org/markup-compatibility/2006">
      <mc:Choice xmlns:tsle="http://schemas.microsoft.com/office/drawing/2012/timeslicer" Requires="tsle">
        <xdr:graphicFrame macro="">
          <xdr:nvGraphicFramePr>
            <xdr:cNvPr id="9" name="Bill_Date 1">
              <a:extLst>
                <a:ext uri="{FF2B5EF4-FFF2-40B4-BE49-F238E27FC236}">
                  <a16:creationId xmlns:a16="http://schemas.microsoft.com/office/drawing/2014/main" id="{8B2DEE20-3682-4796-B0D4-E20047E803E0}"/>
                </a:ext>
              </a:extLst>
            </xdr:cNvPr>
            <xdr:cNvGraphicFramePr/>
          </xdr:nvGraphicFramePr>
          <xdr:xfrm>
            <a:off x="0" y="0"/>
            <a:ext cx="0" cy="0"/>
          </xdr:xfrm>
          <a:graphic>
            <a:graphicData uri="http://schemas.microsoft.com/office/drawing/2012/timeslicer">
              <tsle:timeslicer xmlns:tsle="http://schemas.microsoft.com/office/drawing/2012/timeslicer" name="Bill_Date 1"/>
            </a:graphicData>
          </a:graphic>
        </xdr:graphicFrame>
      </mc:Choice>
      <mc:Fallback>
        <xdr:sp macro="" textlink="">
          <xdr:nvSpPr>
            <xdr:cNvPr id="0" name=""/>
            <xdr:cNvSpPr>
              <a:spLocks noTextEdit="1"/>
            </xdr:cNvSpPr>
          </xdr:nvSpPr>
          <xdr:spPr>
            <a:xfrm>
              <a:off x="10878868" y="2333352"/>
              <a:ext cx="4637219" cy="16754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571801</xdr:colOff>
      <xdr:row>26</xdr:row>
      <xdr:rowOff>69504</xdr:rowOff>
    </xdr:from>
    <xdr:to>
      <xdr:col>8</xdr:col>
      <xdr:colOff>525260</xdr:colOff>
      <xdr:row>37</xdr:row>
      <xdr:rowOff>40074</xdr:rowOff>
    </xdr:to>
    <mc:AlternateContent xmlns:mc="http://schemas.openxmlformats.org/markup-compatibility/2006" xmlns:a14="http://schemas.microsoft.com/office/drawing/2010/main">
      <mc:Choice Requires="a14">
        <xdr:graphicFrame macro="">
          <xdr:nvGraphicFramePr>
            <xdr:cNvPr id="10" name="Payment_Method 1">
              <a:extLst>
                <a:ext uri="{FF2B5EF4-FFF2-40B4-BE49-F238E27FC236}">
                  <a16:creationId xmlns:a16="http://schemas.microsoft.com/office/drawing/2014/main" id="{0C83FA2F-CE37-4132-9E23-522EEF5A2BE7}"/>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3608758" y="4950721"/>
              <a:ext cx="1775632" cy="2035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227977</xdr:colOff>
      <xdr:row>26</xdr:row>
      <xdr:rowOff>65973</xdr:rowOff>
    </xdr:from>
    <xdr:to>
      <xdr:col>5</xdr:col>
      <xdr:colOff>201124</xdr:colOff>
      <xdr:row>36</xdr:row>
      <xdr:rowOff>124300</xdr:rowOff>
    </xdr:to>
    <mc:AlternateContent xmlns:mc="http://schemas.openxmlformats.org/markup-compatibility/2006">
      <mc:Choice xmlns:a14="http://schemas.microsoft.com/office/drawing/2010/main" Requires="a14">
        <xdr:graphicFrame macro="">
          <xdr:nvGraphicFramePr>
            <xdr:cNvPr id="13" name="Insurance_Provider 1">
              <a:extLst>
                <a:ext uri="{FF2B5EF4-FFF2-40B4-BE49-F238E27FC236}">
                  <a16:creationId xmlns:a16="http://schemas.microsoft.com/office/drawing/2014/main" id="{45C58C1D-A1D9-4354-8581-86514E2B089F}"/>
                </a:ext>
              </a:extLst>
            </xdr:cNvPr>
            <xdr:cNvGraphicFramePr/>
          </xdr:nvGraphicFramePr>
          <xdr:xfrm>
            <a:off x="0" y="0"/>
            <a:ext cx="0" cy="0"/>
          </xdr:xfrm>
          <a:graphic>
            <a:graphicData uri="http://schemas.microsoft.com/office/drawing/2010/slicer">
              <sle:slicer xmlns:sle="http://schemas.microsoft.com/office/drawing/2010/slicer" name="Insurance_Provider 1"/>
            </a:graphicData>
          </a:graphic>
        </xdr:graphicFrame>
      </mc:Choice>
      <mc:Fallback>
        <xdr:sp macro="" textlink="">
          <xdr:nvSpPr>
            <xdr:cNvPr id="0" name=""/>
            <xdr:cNvSpPr>
              <a:spLocks noTextEdit="1"/>
            </xdr:cNvSpPr>
          </xdr:nvSpPr>
          <xdr:spPr>
            <a:xfrm>
              <a:off x="1442760" y="4947190"/>
              <a:ext cx="1795321" cy="1935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11043</xdr:colOff>
      <xdr:row>11</xdr:row>
      <xdr:rowOff>103177</xdr:rowOff>
    </xdr:from>
    <xdr:to>
      <xdr:col>13</xdr:col>
      <xdr:colOff>85267</xdr:colOff>
      <xdr:row>22</xdr:row>
      <xdr:rowOff>4013</xdr:rowOff>
    </xdr:to>
    <xdr:grpSp>
      <xdr:nvGrpSpPr>
        <xdr:cNvPr id="14" name="Group 13">
          <a:extLst>
            <a:ext uri="{FF2B5EF4-FFF2-40B4-BE49-F238E27FC236}">
              <a16:creationId xmlns:a16="http://schemas.microsoft.com/office/drawing/2014/main" id="{E02861FC-C0A8-461A-8BCD-A78731E30D5C}"/>
            </a:ext>
          </a:extLst>
        </xdr:cNvPr>
        <xdr:cNvGrpSpPr/>
      </xdr:nvGrpSpPr>
      <xdr:grpSpPr>
        <a:xfrm>
          <a:off x="5477565" y="2168307"/>
          <a:ext cx="2503789" cy="1965967"/>
          <a:chOff x="746760" y="403860"/>
          <a:chExt cx="1844040" cy="2026920"/>
        </a:xfrm>
        <a:solidFill>
          <a:schemeClr val="accent6">
            <a:lumMod val="60000"/>
            <a:lumOff val="40000"/>
          </a:schemeClr>
        </a:solidFill>
      </xdr:grpSpPr>
      <xdr:sp macro="" textlink="">
        <xdr:nvSpPr>
          <xdr:cNvPr id="15" name="Rectangle: Top Corners Rounded 14">
            <a:extLst>
              <a:ext uri="{FF2B5EF4-FFF2-40B4-BE49-F238E27FC236}">
                <a16:creationId xmlns:a16="http://schemas.microsoft.com/office/drawing/2014/main" id="{2BE4762B-F81E-D663-1CE8-128F01B649FE}"/>
              </a:ext>
            </a:extLst>
          </xdr:cNvPr>
          <xdr:cNvSpPr/>
        </xdr:nvSpPr>
        <xdr:spPr>
          <a:xfrm>
            <a:off x="746760" y="403860"/>
            <a:ext cx="1844040" cy="2026920"/>
          </a:xfrm>
          <a:prstGeom prst="round2SameRect">
            <a:avLst/>
          </a:prstGeom>
          <a:solidFill>
            <a:schemeClr val="accent6">
              <a:lumMod val="20000"/>
              <a:lumOff val="8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chemeClr val="tx1"/>
              </a:solidFill>
            </a:endParaRPr>
          </a:p>
        </xdr:txBody>
      </xdr:sp>
      <xdr:sp macro="" textlink="">
        <xdr:nvSpPr>
          <xdr:cNvPr id="16" name="Rectangle: Rounded Corners 15">
            <a:extLst>
              <a:ext uri="{FF2B5EF4-FFF2-40B4-BE49-F238E27FC236}">
                <a16:creationId xmlns:a16="http://schemas.microsoft.com/office/drawing/2014/main" id="{3D236963-5278-4005-F418-E48EFF3783C5}"/>
              </a:ext>
            </a:extLst>
          </xdr:cNvPr>
          <xdr:cNvSpPr/>
        </xdr:nvSpPr>
        <xdr:spPr>
          <a:xfrm>
            <a:off x="990600" y="678180"/>
            <a:ext cx="1424940" cy="403860"/>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tx1"/>
                </a:solidFill>
                <a:latin typeface="Century" panose="02040604050505020304" pitchFamily="18" charset="0"/>
              </a:rPr>
              <a:t>TOTAL APPOINTMENT</a:t>
            </a:r>
          </a:p>
        </xdr:txBody>
      </xdr:sp>
      <xdr:sp macro="" textlink="pivot!K2">
        <xdr:nvSpPr>
          <xdr:cNvPr id="17" name="Rectangle: Rounded Corners 16">
            <a:extLst>
              <a:ext uri="{FF2B5EF4-FFF2-40B4-BE49-F238E27FC236}">
                <a16:creationId xmlns:a16="http://schemas.microsoft.com/office/drawing/2014/main" id="{B72E1DFD-DB52-023A-E310-D49ACA6D03A6}"/>
              </a:ext>
            </a:extLst>
          </xdr:cNvPr>
          <xdr:cNvSpPr/>
        </xdr:nvSpPr>
        <xdr:spPr>
          <a:xfrm>
            <a:off x="1158240" y="1363980"/>
            <a:ext cx="952500" cy="358140"/>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F67DD2D-B2B5-43ED-B522-D2B4702DD179}" type="TxLink">
              <a:rPr lang="en-US" sz="1100" b="0" i="0" u="none" strike="noStrike">
                <a:solidFill>
                  <a:schemeClr val="tx1"/>
                </a:solidFill>
                <a:latin typeface="Calibri"/>
                <a:ea typeface="Calibri"/>
                <a:cs typeface="Calibri"/>
              </a:rPr>
              <a:pPr algn="l"/>
              <a:t>₹ 200.00</a:t>
            </a:fld>
            <a:endParaRPr lang="en-IN" sz="1100">
              <a:solidFill>
                <a:schemeClr val="tx1"/>
              </a:solidFill>
            </a:endParaRPr>
          </a:p>
        </xdr:txBody>
      </xdr:sp>
      <xdr:pic>
        <xdr:nvPicPr>
          <xdr:cNvPr id="18" name="Picture 17">
            <a:extLst>
              <a:ext uri="{FF2B5EF4-FFF2-40B4-BE49-F238E27FC236}">
                <a16:creationId xmlns:a16="http://schemas.microsoft.com/office/drawing/2014/main" id="{8D74A1C5-6A77-D381-C248-7183EEFA335B}"/>
              </a:ext>
            </a:extLst>
          </xdr:cNvPr>
          <xdr:cNvPicPr>
            <a:picLocks noChangeAspect="1" noChangeArrowheads="1"/>
          </xdr:cNvPicPr>
        </xdr:nvPicPr>
        <xdr:blipFill>
          <a:blip xmlns:r="http://schemas.openxmlformats.org/officeDocument/2006/relationships" r:embed="rId5">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1257300" y="1981200"/>
            <a:ext cx="746760" cy="190500"/>
          </a:xfrm>
          <a:prstGeom prst="rect">
            <a:avLst/>
          </a:prstGeom>
          <a:grpFill/>
        </xdr:spPr>
      </xdr:pic>
    </xdr:grpSp>
    <xdr:clientData/>
  </xdr:twoCellAnchor>
  <xdr:twoCellAnchor>
    <xdr:from>
      <xdr:col>13</xdr:col>
      <xdr:colOff>438873</xdr:colOff>
      <xdr:row>11</xdr:row>
      <xdr:rowOff>127008</xdr:rowOff>
    </xdr:from>
    <xdr:to>
      <xdr:col>17</xdr:col>
      <xdr:colOff>19310</xdr:colOff>
      <xdr:row>22</xdr:row>
      <xdr:rowOff>25390</xdr:rowOff>
    </xdr:to>
    <xdr:grpSp>
      <xdr:nvGrpSpPr>
        <xdr:cNvPr id="19" name="Group 18">
          <a:extLst>
            <a:ext uri="{FF2B5EF4-FFF2-40B4-BE49-F238E27FC236}">
              <a16:creationId xmlns:a16="http://schemas.microsoft.com/office/drawing/2014/main" id="{E012D742-725A-4875-962D-0DFAB83C7213}"/>
            </a:ext>
          </a:extLst>
        </xdr:cNvPr>
        <xdr:cNvGrpSpPr/>
      </xdr:nvGrpSpPr>
      <xdr:grpSpPr>
        <a:xfrm>
          <a:off x="8334960" y="2192138"/>
          <a:ext cx="2010002" cy="1963513"/>
          <a:chOff x="3169920" y="449580"/>
          <a:chExt cx="1996440" cy="1973580"/>
        </a:xfrm>
        <a:solidFill>
          <a:schemeClr val="accent6">
            <a:lumMod val="20000"/>
            <a:lumOff val="80000"/>
          </a:schemeClr>
        </a:solidFill>
      </xdr:grpSpPr>
      <xdr:sp macro="" textlink="">
        <xdr:nvSpPr>
          <xdr:cNvPr id="20" name="Rectangle: Top Corners Rounded 19">
            <a:extLst>
              <a:ext uri="{FF2B5EF4-FFF2-40B4-BE49-F238E27FC236}">
                <a16:creationId xmlns:a16="http://schemas.microsoft.com/office/drawing/2014/main" id="{18050833-6C76-5922-B103-A73ECC31FA90}"/>
              </a:ext>
            </a:extLst>
          </xdr:cNvPr>
          <xdr:cNvSpPr/>
        </xdr:nvSpPr>
        <xdr:spPr>
          <a:xfrm>
            <a:off x="3169920" y="449580"/>
            <a:ext cx="1996440" cy="1973580"/>
          </a:xfrm>
          <a:prstGeom prst="round2SameRect">
            <a:avLst/>
          </a:prstGeom>
          <a:grp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A36612CF-DDE2-B5A7-00CC-7496DC770DF9}"/>
              </a:ext>
            </a:extLst>
          </xdr:cNvPr>
          <xdr:cNvSpPr/>
        </xdr:nvSpPr>
        <xdr:spPr>
          <a:xfrm>
            <a:off x="3489960" y="685800"/>
            <a:ext cx="1470660" cy="419100"/>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latin typeface="Century" panose="02040604050505020304" pitchFamily="18" charset="0"/>
              </a:rPr>
              <a:t>TOTAL</a:t>
            </a:r>
            <a:r>
              <a:rPr lang="en-IN" sz="1100" baseline="0">
                <a:latin typeface="Century" panose="02040604050505020304" pitchFamily="18" charset="0"/>
              </a:rPr>
              <a:t> AMOUNT</a:t>
            </a:r>
            <a:endParaRPr lang="en-IN" sz="1100">
              <a:latin typeface="Century" panose="02040604050505020304" pitchFamily="18" charset="0"/>
            </a:endParaRPr>
          </a:p>
        </xdr:txBody>
      </xdr:sp>
      <xdr:sp macro="" textlink="pivot!K3">
        <xdr:nvSpPr>
          <xdr:cNvPr id="22" name="Rectangle: Rounded Corners 21">
            <a:extLst>
              <a:ext uri="{FF2B5EF4-FFF2-40B4-BE49-F238E27FC236}">
                <a16:creationId xmlns:a16="http://schemas.microsoft.com/office/drawing/2014/main" id="{756790C7-0F57-E277-658B-E02C58030A4E}"/>
              </a:ext>
            </a:extLst>
          </xdr:cNvPr>
          <xdr:cNvSpPr/>
        </xdr:nvSpPr>
        <xdr:spPr>
          <a:xfrm>
            <a:off x="3657600" y="1303020"/>
            <a:ext cx="1058065" cy="332971"/>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62F845D-1DBD-4116-B8D2-74D112B53881}" type="TxLink">
              <a:rPr lang="en-US" sz="1100" b="0" i="0" u="none" strike="noStrike">
                <a:solidFill>
                  <a:srgbClr val="000000"/>
                </a:solidFill>
                <a:latin typeface="Calibri"/>
                <a:ea typeface="Calibri"/>
                <a:cs typeface="Calibri"/>
              </a:rPr>
              <a:t> ₹ 5,22,420.07 </a:t>
            </a:fld>
            <a:endParaRPr lang="en-IN" sz="1100"/>
          </a:p>
        </xdr:txBody>
      </xdr:sp>
      <xdr:pic>
        <xdr:nvPicPr>
          <xdr:cNvPr id="23" name="Picture 22">
            <a:extLst>
              <a:ext uri="{FF2B5EF4-FFF2-40B4-BE49-F238E27FC236}">
                <a16:creationId xmlns:a16="http://schemas.microsoft.com/office/drawing/2014/main" id="{195DDA1B-D6BF-BA22-D9C4-04E86FAAB6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8560" y="1935480"/>
            <a:ext cx="914400" cy="190500"/>
          </a:xfrm>
          <a:prstGeom prst="rect">
            <a:avLst/>
          </a:prstGeom>
          <a:grpFill/>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7.52216782407" createdVersion="8" refreshedVersion="8" minRefreshableVersion="3" recordCount="200" xr:uid="{79887DD2-8F98-4D3F-83B5-CAE1A374B121}">
  <cacheSource type="worksheet">
    <worksheetSource ref="A1:AE201" sheet="hospital management"/>
  </cacheSource>
  <cacheFields count="34">
    <cacheField name="Appointment_Id" numFmtId="0">
      <sharedItems/>
    </cacheField>
    <cacheField name="Patient_Id" numFmtId="0">
      <sharedItems/>
    </cacheField>
    <cacheField name="Doctor_Id" numFmtId="0">
      <sharedItems/>
    </cacheField>
    <cacheField name="Appointment_Date" numFmtId="14">
      <sharedItems containsSemiMixedTypes="0" containsNonDate="0" containsDate="1" containsString="0" minDate="2023-01-01T00:00:00" maxDate="2023-12-31T00:00:00" count="158">
        <d v="2023-08-09T00:00:00"/>
        <d v="2023-06-09T00:00:00"/>
        <d v="2023-06-28T00:00:00"/>
        <d v="2023-09-01T00:00:00"/>
        <d v="2023-07-06T00:00:00"/>
        <d v="2023-06-19T00:00:00"/>
        <d v="2023-04-09T00:00:00"/>
        <d v="2023-05-24T00:00:00"/>
        <d v="2023-03-05T00:00:00"/>
        <d v="2023-01-13T00:00:00"/>
        <d v="2023-11-12T00:00:00"/>
        <d v="2023-05-07T00:00:00"/>
        <d v="2023-08-16T00:00:00"/>
        <d v="2023-05-25T00:00:00"/>
        <d v="2023-01-15T00:00:00"/>
        <d v="2023-06-30T00:00:00"/>
        <d v="2023-07-11T00:00:00"/>
        <d v="2023-11-14T00:00:00"/>
        <d v="2023-02-06T00:00:00"/>
        <d v="2023-12-05T00:00:00"/>
        <d v="2023-04-24T00:00:00"/>
        <d v="2023-05-09T00:00:00"/>
        <d v="2023-06-21T00:00:00"/>
        <d v="2023-02-25T00:00:00"/>
        <d v="2023-03-17T00:00:00"/>
        <d v="2023-10-29T00:00:00"/>
        <d v="2023-06-25T00:00:00"/>
        <d v="2023-08-29T00:00:00"/>
        <d v="2023-04-04T00:00:00"/>
        <d v="2023-11-06T00:00:00"/>
        <d v="2023-09-23T00:00:00"/>
        <d v="2023-06-13T00:00:00"/>
        <d v="2023-04-18T00:00:00"/>
        <d v="2023-01-08T00:00:00"/>
        <d v="2023-03-28T00:00:00"/>
        <d v="2023-02-23T00:00:00"/>
        <d v="2023-04-17T00:00:00"/>
        <d v="2023-03-27T00:00:00"/>
        <d v="2023-01-01T00:00:00"/>
        <d v="2023-03-21T00:00:00"/>
        <d v="2023-03-29T00:00:00"/>
        <d v="2023-09-20T00:00:00"/>
        <d v="2023-09-28T00:00:00"/>
        <d v="2023-12-20T00:00:00"/>
        <d v="2023-05-02T00:00:00"/>
        <d v="2023-01-16T00:00:00"/>
        <d v="2023-04-30T00:00:00"/>
        <d v="2023-02-04T00:00:00"/>
        <d v="2023-07-12T00:00:00"/>
        <d v="2023-02-12T00:00:00"/>
        <d v="2023-12-16T00:00:00"/>
        <d v="2023-10-06T00:00:00"/>
        <d v="2023-01-02T00:00:00"/>
        <d v="2023-04-15T00:00:00"/>
        <d v="2023-03-09T00:00:00"/>
        <d v="2023-11-22T00:00:00"/>
        <d v="2023-06-14T00:00:00"/>
        <d v="2023-06-29T00:00:00"/>
        <d v="2023-05-31T00:00:00"/>
        <d v="2023-05-10T00:00:00"/>
        <d v="2023-08-10T00:00:00"/>
        <d v="2023-03-14T00:00:00"/>
        <d v="2023-08-26T00:00:00"/>
        <d v="2023-01-26T00:00:00"/>
        <d v="2023-06-12T00:00:00"/>
        <d v="2023-12-24T00:00:00"/>
        <d v="2023-07-23T00:00:00"/>
        <d v="2023-05-08T00:00:00"/>
        <d v="2023-11-27T00:00:00"/>
        <d v="2023-12-14T00:00:00"/>
        <d v="2023-09-17T00:00:00"/>
        <d v="2023-12-26T00:00:00"/>
        <d v="2023-06-26T00:00:00"/>
        <d v="2023-01-06T00:00:00"/>
        <d v="2023-01-20T00:00:00"/>
        <d v="2023-11-07T00:00:00"/>
        <d v="2023-02-18T00:00:00"/>
        <d v="2023-10-19T00:00:00"/>
        <d v="2023-02-14T00:00:00"/>
        <d v="2023-06-01T00:00:00"/>
        <d v="2023-06-11T00:00:00"/>
        <d v="2023-01-30T00:00:00"/>
        <d v="2023-04-08T00:00:00"/>
        <d v="2023-07-07T00:00:00"/>
        <d v="2023-05-06T00:00:00"/>
        <d v="2023-07-04T00:00:00"/>
        <d v="2023-03-02T00:00:00"/>
        <d v="2023-09-21T00:00:00"/>
        <d v="2023-10-25T00:00:00"/>
        <d v="2023-01-24T00:00:00"/>
        <d v="2023-08-14T00:00:00"/>
        <d v="2023-04-21T00:00:00"/>
        <d v="2023-07-29T00:00:00"/>
        <d v="2023-07-19T00:00:00"/>
        <d v="2023-05-22T00:00:00"/>
        <d v="2023-01-11T00:00:00"/>
        <d v="2023-11-24T00:00:00"/>
        <d v="2023-08-08T00:00:00"/>
        <d v="2023-06-20T00:00:00"/>
        <d v="2023-12-18T00:00:00"/>
        <d v="2023-12-08T00:00:00"/>
        <d v="2023-04-07T00:00:00"/>
        <d v="2023-02-28T00:00:00"/>
        <d v="2023-03-16T00:00:00"/>
        <d v="2023-11-02T00:00:00"/>
        <d v="2023-11-13T00:00:00"/>
        <d v="2023-08-25T00:00:00"/>
        <d v="2023-05-11T00:00:00"/>
        <d v="2023-07-26T00:00:00"/>
        <d v="2023-03-23T00:00:00"/>
        <d v="2023-10-17T00:00:00"/>
        <d v="2023-09-09T00:00:00"/>
        <d v="2023-05-13T00:00:00"/>
        <d v="2023-10-10T00:00:00"/>
        <d v="2023-02-05T00:00:00"/>
        <d v="2023-06-15T00:00:00"/>
        <d v="2023-11-01T00:00:00"/>
        <d v="2023-11-11T00:00:00"/>
        <d v="2023-01-05T00:00:00"/>
        <d v="2023-12-06T00:00:00"/>
        <d v="2023-01-28T00:00:00"/>
        <d v="2023-04-14T00:00:00"/>
        <d v="2023-07-08T00:00:00"/>
        <d v="2023-03-06T00:00:00"/>
        <d v="2023-01-03T00:00:00"/>
        <d v="2023-05-12T00:00:00"/>
        <d v="2023-12-17T00:00:00"/>
        <d v="2023-06-17T00:00:00"/>
        <d v="2023-06-27T00:00:00"/>
        <d v="2023-07-28T00:00:00"/>
        <d v="2023-01-12T00:00:00"/>
        <d v="2023-11-15T00:00:00"/>
        <d v="2023-09-29T00:00:00"/>
        <d v="2023-07-24T00:00:00"/>
        <d v="2023-03-03T00:00:00"/>
        <d v="2023-06-04T00:00:00"/>
        <d v="2023-10-31T00:00:00"/>
        <d v="2023-10-22T00:00:00"/>
        <d v="2023-04-26T00:00:00"/>
        <d v="2023-01-17T00:00:00"/>
        <d v="2023-03-08T00:00:00"/>
        <d v="2023-01-07T00:00:00"/>
        <d v="2023-09-03T00:00:00"/>
        <d v="2023-04-12T00:00:00"/>
        <d v="2023-02-03T00:00:00"/>
        <d v="2023-02-26T00:00:00"/>
        <d v="2023-02-13T00:00:00"/>
        <d v="2023-10-05T00:00:00"/>
        <d v="2023-11-16T00:00:00"/>
        <d v="2023-08-31T00:00:00"/>
        <d v="2023-09-15T00:00:00"/>
        <d v="2023-04-06T00:00:00"/>
        <d v="2023-08-19T00:00:00"/>
        <d v="2023-10-26T00:00:00"/>
        <d v="2023-04-01T00:00:00"/>
        <d v="2023-05-15T00:00:00"/>
        <d v="2023-05-01T00:00:00"/>
        <d v="2023-12-30T00:00:00"/>
      </sharedItems>
    </cacheField>
    <cacheField name="Appointment_Time" numFmtId="21">
      <sharedItems containsSemiMixedTypes="0" containsNonDate="0" containsDate="1" containsString="0" minDate="1899-12-30T08:00:00" maxDate="1899-12-30T17:45:00"/>
    </cacheField>
    <cacheField name="Reason_For_Visit" numFmtId="0">
      <sharedItems/>
    </cacheField>
    <cacheField name="Status" numFmtId="0">
      <sharedItems count="4">
        <s v="Scheduled"/>
        <s v="No-show"/>
        <s v="Cancelled"/>
        <s v="Completed"/>
      </sharedItems>
    </cacheField>
    <cacheField name="Treatment_Type" numFmtId="0">
      <sharedItems count="5">
        <s v="Chemotherapy"/>
        <s v="MRI"/>
        <s v="ECG"/>
        <s v="Physiotherapy"/>
        <s v="X-Ray"/>
      </sharedItems>
    </cacheField>
    <cacheField name="Description" numFmtId="0">
      <sharedItems/>
    </cacheField>
    <cacheField name="Cost" numFmtId="164">
      <sharedItems containsSemiMixedTypes="0" containsString="0" containsNumber="1" minValue="534.03" maxValue="4973.63"/>
    </cacheField>
    <cacheField name="Treatment_Date" numFmtId="14">
      <sharedItems containsSemiMixedTypes="0" containsNonDate="0" containsDate="1" containsString="0" minDate="2023-01-01T00:00:00" maxDate="2023-12-31T00:00:00"/>
    </cacheField>
    <cacheField name="First_Name" numFmtId="0">
      <sharedItems count="10">
        <s v="Alex"/>
        <s v="Emily"/>
        <s v="Robert"/>
        <s v="Linda"/>
        <s v="David"/>
        <s v="Michael"/>
        <s v="Jane"/>
        <s v="John"/>
        <s v="Laura"/>
        <s v="Sarah"/>
      </sharedItems>
    </cacheField>
    <cacheField name="Last_Name" numFmtId="0">
      <sharedItems/>
    </cacheField>
    <cacheField name="Gender" numFmtId="0">
      <sharedItems/>
    </cacheField>
    <cacheField name="Date_Of_Birth" numFmtId="14">
      <sharedItems containsSemiMixedTypes="0" containsNonDate="0" containsDate="1" containsString="0" minDate="1950-01-26T00:00:00" maxDate="2005-05-16T00:00:00"/>
    </cacheField>
    <cacheField name="Contact_Number" numFmtId="0">
      <sharedItems containsSemiMixedTypes="0" containsString="0" containsNumber="1" containsInteger="1" minValue="6141951830" maxValue="9900972256"/>
    </cacheField>
    <cacheField name="Address" numFmtId="0">
      <sharedItems/>
    </cacheField>
    <cacheField name="Registration_Date" numFmtId="0">
      <sharedItems containsSemiMixedTypes="0" containsString="0" containsNumber="1" containsInteger="1" minValue="44219" maxValue="45272"/>
    </cacheField>
    <cacheField name="Insurance_Provider" numFmtId="0">
      <sharedItems count="4">
        <s v="WellnessCorp"/>
        <s v="MedCare Plus"/>
        <s v="PulseSecure"/>
        <s v="HealthIndia"/>
      </sharedItems>
    </cacheField>
    <cacheField name="Insurance_Number" numFmtId="0">
      <sharedItems/>
    </cacheField>
    <cacheField name="First_Name2" numFmtId="0">
      <sharedItems/>
    </cacheField>
    <cacheField name="Last_Name2" numFmtId="0">
      <sharedItems/>
    </cacheField>
    <cacheField name="Specialization" numFmtId="0">
      <sharedItems count="3">
        <s v="Pediatrics"/>
        <s v="Oncology"/>
        <s v="Dermatology"/>
      </sharedItems>
    </cacheField>
    <cacheField name="Phone_Number" numFmtId="0">
      <sharedItems containsSemiMixedTypes="0" containsString="0" containsNumber="1" containsInteger="1" minValue="6176383634" maxValue="9118538547"/>
    </cacheField>
    <cacheField name="Years_Experience" numFmtId="0">
      <sharedItems containsSemiMixedTypes="0" containsString="0" containsNumber="1" containsInteger="1" minValue="5" maxValue="28"/>
    </cacheField>
    <cacheField name="Hospital_Branch" numFmtId="0">
      <sharedItems count="3">
        <s v="Central Hospital"/>
        <s v="Eastside Clinic"/>
        <s v="Westside Clinic"/>
      </sharedItems>
    </cacheField>
    <cacheField name="Field27" caption="Field27" numFmtId="0">
      <sharedItems containsNonDate="0" containsString="0" containsBlank="1"/>
    </cacheField>
    <cacheField name="Treatment_Id" numFmtId="0">
      <sharedItems/>
    </cacheField>
    <cacheField name="Bill_Date" numFmtId="14">
      <sharedItems containsSemiMixedTypes="0" containsNonDate="0" containsDate="1" containsString="0" minDate="2023-01-01T00:00:00" maxDate="2023-12-21T00:00:00" count="46">
        <d v="2023-08-09T00:00:00"/>
        <d v="2023-06-09T00:00:00"/>
        <d v="2023-06-28T00:00:00"/>
        <d v="2023-09-01T00:00:00"/>
        <d v="2023-07-06T00:00:00"/>
        <d v="2023-06-19T00:00:00"/>
        <d v="2023-04-09T00:00:00"/>
        <d v="2023-05-24T00:00:00"/>
        <d v="2023-03-05T00:00:00"/>
        <d v="2023-01-13T00:00:00"/>
        <d v="2023-11-12T00:00:00"/>
        <d v="2023-05-07T00:00:00"/>
        <d v="2023-08-16T00:00:00"/>
        <d v="2023-05-25T00:00:00"/>
        <d v="2023-01-15T00:00:00"/>
        <d v="2023-07-11T00:00:00"/>
        <d v="2023-12-05T00:00:00"/>
        <d v="2023-04-24T00:00:00"/>
        <d v="2023-05-09T00:00:00"/>
        <d v="2023-06-21T00:00:00"/>
        <d v="2023-02-25T00:00:00"/>
        <d v="2023-03-17T00:00:00"/>
        <d v="2023-09-23T00:00:00"/>
        <d v="2023-04-18T00:00:00"/>
        <d v="2023-01-08T00:00:00"/>
        <d v="2023-04-17T00:00:00"/>
        <d v="2023-03-27T00:00:00"/>
        <d v="2023-09-20T00:00:00"/>
        <d v="2023-12-20T00:00:00"/>
        <d v="2023-02-04T00:00:00"/>
        <d v="2023-02-12T00:00:00"/>
        <d v="2023-10-06T00:00:00"/>
        <d v="2023-03-09T00:00:00"/>
        <d v="2023-11-22T00:00:00"/>
        <d v="2023-06-29T00:00:00"/>
        <d v="2023-05-31T00:00:00"/>
        <d v="2023-08-10T00:00:00"/>
        <d v="2023-11-27T00:00:00"/>
        <d v="2023-09-17T00:00:00"/>
        <d v="2023-10-29T00:00:00"/>
        <d v="2023-05-02T00:00:00"/>
        <d v="2023-04-08T00:00:00"/>
        <d v="2023-07-04T00:00:00"/>
        <d v="2023-08-08T00:00:00"/>
        <d v="2023-01-01T00:00:00"/>
        <d v="2023-03-08T00:00:00"/>
      </sharedItems>
      <fieldGroup par="33"/>
    </cacheField>
    <cacheField name="Amount" numFmtId="164">
      <sharedItems containsSemiMixedTypes="0" containsString="0" containsNumber="1" minValue="534.03" maxValue="4945.03"/>
    </cacheField>
    <cacheField name="Payment_Method" numFmtId="0">
      <sharedItems count="3">
        <s v="Insurance"/>
        <s v="Credit Card"/>
        <s v="Cash"/>
      </sharedItems>
    </cacheField>
    <cacheField name="Payment_Status" numFmtId="0">
      <sharedItems count="3">
        <s v="Pending"/>
        <s v="Paid"/>
        <s v="Failed"/>
      </sharedItems>
    </cacheField>
    <cacheField name="Days (Bill_Date)" numFmtId="0" databaseField="0">
      <fieldGroup base="28">
        <rangePr groupBy="days" startDate="2023-01-01T00:00:00" endDate="2023-12-2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2-2023"/>
        </groupItems>
      </fieldGroup>
    </cacheField>
    <cacheField name="Months (Bill_Date)" numFmtId="0" databaseField="0">
      <fieldGroup base="28">
        <rangePr groupBy="months" startDate="2023-01-01T00:00:00" endDate="2023-12-21T00:00:00"/>
        <groupItems count="14">
          <s v="&lt;01-01-2023"/>
          <s v="Jan"/>
          <s v="Feb"/>
          <s v="Mar"/>
          <s v="Apr"/>
          <s v="May"/>
          <s v="Jun"/>
          <s v="Jul"/>
          <s v="Aug"/>
          <s v="Sep"/>
          <s v="Oct"/>
          <s v="Nov"/>
          <s v="Dec"/>
          <s v="&gt;21-12-2023"/>
        </groupItems>
      </fieldGroup>
    </cacheField>
  </cacheFields>
  <extLst>
    <ext xmlns:x14="http://schemas.microsoft.com/office/spreadsheetml/2009/9/main" uri="{725AE2AE-9491-48be-B2B4-4EB974FC3084}">
      <x14:pivotCacheDefinition pivotCacheId="1123041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001"/>
    <s v="P034"/>
    <s v="D009"/>
    <x v="0"/>
    <d v="1899-12-30T15:15:00"/>
    <s v="Therapy"/>
    <x v="0"/>
    <x v="0"/>
    <s v="Basic screening"/>
    <n v="3941.97"/>
    <d v="2023-08-09T00:00:00"/>
    <x v="0"/>
    <s v="Smith"/>
    <s v="F"/>
    <d v="1950-01-26T00:00:00"/>
    <n v="8374657733"/>
    <s v="321 Maple Dr"/>
    <n v="45095"/>
    <x v="0"/>
    <s v="INS653880"/>
    <s v="Sarah"/>
    <s v="Smith"/>
    <x v="0"/>
    <n v="7387087517"/>
    <n v="26"/>
    <x v="0"/>
    <m/>
    <s v="T001"/>
    <x v="0"/>
    <n v="3941.97"/>
    <x v="0"/>
    <x v="0"/>
  </r>
  <r>
    <s v="A002"/>
    <s v="P032"/>
    <s v="D004"/>
    <x v="1"/>
    <d v="1899-12-30T14:30:00"/>
    <s v="Therapy"/>
    <x v="1"/>
    <x v="1"/>
    <s v="Advanced protocol"/>
    <n v="4158.4399999999996"/>
    <d v="2023-06-09T00:00:00"/>
    <x v="0"/>
    <s v="Moore"/>
    <s v="M"/>
    <d v="1981-01-08T00:00:00"/>
    <n v="8102183595"/>
    <s v="123 Elm St"/>
    <n v="44471"/>
    <x v="1"/>
    <s v="INS335362"/>
    <s v="David"/>
    <s v="Jones"/>
    <x v="0"/>
    <n v="6594221991"/>
    <n v="28"/>
    <x v="0"/>
    <m/>
    <s v="T002"/>
    <x v="1"/>
    <n v="4158.4399999999996"/>
    <x v="0"/>
    <x v="1"/>
  </r>
  <r>
    <s v="A003"/>
    <s v="P048"/>
    <s v="D004"/>
    <x v="2"/>
    <d v="1899-12-30T08:00:00"/>
    <s v="Consultation"/>
    <x v="2"/>
    <x v="1"/>
    <s v="Standard procedure"/>
    <n v="3731.55"/>
    <d v="2023-06-28T00:00:00"/>
    <x v="1"/>
    <s v="Miller"/>
    <s v="M"/>
    <d v="1983-03-24T00:00:00"/>
    <n v="8720989381"/>
    <s v="123 Elm St"/>
    <n v="45096"/>
    <x v="2"/>
    <s v="INS694319"/>
    <s v="David"/>
    <s v="Jones"/>
    <x v="0"/>
    <n v="6594221991"/>
    <n v="28"/>
    <x v="0"/>
    <m/>
    <s v="T003"/>
    <x v="2"/>
    <n v="3731.55"/>
    <x v="0"/>
    <x v="1"/>
  </r>
  <r>
    <s v="A004"/>
    <s v="P025"/>
    <s v="D006"/>
    <x v="3"/>
    <d v="1899-12-30T09:15:00"/>
    <s v="Consultation"/>
    <x v="2"/>
    <x v="1"/>
    <s v="Basic screening"/>
    <n v="4799.8599999999997"/>
    <d v="2023-09-01T00:00:00"/>
    <x v="2"/>
    <s v="Wilson"/>
    <s v="M"/>
    <d v="1966-08-14T00:00:00"/>
    <n v="7482069727"/>
    <s v="123 Elm St"/>
    <n v="44448"/>
    <x v="3"/>
    <s v="INS833429"/>
    <s v="Alex"/>
    <s v="Davis"/>
    <x v="0"/>
    <n v="6570137231"/>
    <n v="23"/>
    <x v="0"/>
    <m/>
    <s v="T004"/>
    <x v="3"/>
    <n v="4799.8599999999997"/>
    <x v="0"/>
    <x v="2"/>
  </r>
  <r>
    <s v="A005"/>
    <s v="P040"/>
    <s v="D003"/>
    <x v="4"/>
    <d v="1899-12-30T12:45:00"/>
    <s v="Emergency"/>
    <x v="1"/>
    <x v="2"/>
    <s v="Standard procedure"/>
    <n v="582.04999999999995"/>
    <d v="2023-07-06T00:00:00"/>
    <x v="1"/>
    <s v="Williams"/>
    <s v="M"/>
    <d v="1972-05-30T00:00:00"/>
    <n v="7587653815"/>
    <s v="456 Oak Ave"/>
    <n v="44485"/>
    <x v="2"/>
    <s v="INS320984"/>
    <s v="Jane"/>
    <s v="Smith"/>
    <x v="0"/>
    <n v="8737740598"/>
    <n v="19"/>
    <x v="1"/>
    <m/>
    <s v="T005"/>
    <x v="4"/>
    <n v="582.04999999999995"/>
    <x v="1"/>
    <x v="0"/>
  </r>
  <r>
    <s v="A006"/>
    <s v="P045"/>
    <s v="D006"/>
    <x v="5"/>
    <d v="1899-12-30T16:15:00"/>
    <s v="Checkup"/>
    <x v="0"/>
    <x v="0"/>
    <s v="Standard procedure"/>
    <n v="1381"/>
    <d v="2023-06-19T00:00:00"/>
    <x v="3"/>
    <s v="Miller"/>
    <s v="F"/>
    <d v="1966-04-25T00:00:00"/>
    <n v="7579616535"/>
    <s v="321 Maple Dr"/>
    <n v="44219"/>
    <x v="1"/>
    <s v="INS701863"/>
    <s v="Alex"/>
    <s v="Davis"/>
    <x v="0"/>
    <n v="6570137231"/>
    <n v="23"/>
    <x v="0"/>
    <m/>
    <s v="T006"/>
    <x v="5"/>
    <n v="1381"/>
    <x v="0"/>
    <x v="0"/>
  </r>
  <r>
    <s v="A007"/>
    <s v="P001"/>
    <s v="D007"/>
    <x v="6"/>
    <d v="1899-12-30T10:30:00"/>
    <s v="Consultation"/>
    <x v="0"/>
    <x v="0"/>
    <s v="Advanced protocol"/>
    <n v="534.03"/>
    <d v="2023-04-09T00:00:00"/>
    <x v="4"/>
    <s v="Williams"/>
    <s v="F"/>
    <d v="1955-06-04T00:00:00"/>
    <n v="6939585183"/>
    <s v="789 Pine Rd"/>
    <n v="44735"/>
    <x v="0"/>
    <s v="INS840674"/>
    <s v="Robert"/>
    <s v="Davis"/>
    <x v="1"/>
    <n v="8217493115"/>
    <n v="26"/>
    <x v="2"/>
    <m/>
    <s v="T007"/>
    <x v="6"/>
    <n v="534.03"/>
    <x v="2"/>
    <x v="2"/>
  </r>
  <r>
    <s v="A008"/>
    <s v="P016"/>
    <s v="D010"/>
    <x v="7"/>
    <d v="1899-12-30T08:45:00"/>
    <s v="Consultation"/>
    <x v="2"/>
    <x v="3"/>
    <s v="Basic screening"/>
    <n v="3413.64"/>
    <d v="2023-05-24T00:00:00"/>
    <x v="5"/>
    <s v="Taylor"/>
    <s v="M"/>
    <d v="2000-07-22T00:00:00"/>
    <n v="7223380592"/>
    <s v="789 Pine Rd"/>
    <n v="44400"/>
    <x v="2"/>
    <s v="INS156958"/>
    <s v="Linda"/>
    <s v="Wilson"/>
    <x v="1"/>
    <n v="6176383634"/>
    <n v="21"/>
    <x v="1"/>
    <m/>
    <s v="T008"/>
    <x v="7"/>
    <n v="3413.64"/>
    <x v="2"/>
    <x v="2"/>
  </r>
  <r>
    <s v="A009"/>
    <s v="P039"/>
    <s v="D010"/>
    <x v="8"/>
    <d v="1899-12-30T13:45:00"/>
    <s v="Follow-up"/>
    <x v="0"/>
    <x v="3"/>
    <s v="Standard procedure"/>
    <n v="4541.1400000000003"/>
    <d v="2023-03-05T00:00:00"/>
    <x v="6"/>
    <s v="Wilson"/>
    <s v="F"/>
    <d v="1950-12-12T00:00:00"/>
    <n v="9271131338"/>
    <s v="789 Pine Rd"/>
    <n v="44264"/>
    <x v="2"/>
    <s v="INS348710"/>
    <s v="Linda"/>
    <s v="Wilson"/>
    <x v="1"/>
    <n v="6176383634"/>
    <n v="21"/>
    <x v="1"/>
    <m/>
    <s v="T009"/>
    <x v="8"/>
    <n v="4541.1400000000003"/>
    <x v="1"/>
    <x v="1"/>
  </r>
  <r>
    <s v="A010"/>
    <s v="P005"/>
    <s v="D003"/>
    <x v="9"/>
    <d v="1899-12-30T15:30:00"/>
    <s v="Therapy"/>
    <x v="3"/>
    <x v="3"/>
    <s v="Standard procedure"/>
    <n v="1595.67"/>
    <d v="2023-01-13T00:00:00"/>
    <x v="4"/>
    <s v="Wilson"/>
    <s v="M"/>
    <d v="1960-06-23T00:00:00"/>
    <n v="7734463155"/>
    <s v="123 Elm St"/>
    <n v="44468"/>
    <x v="1"/>
    <s v="INS788105"/>
    <s v="Jane"/>
    <s v="Smith"/>
    <x v="0"/>
    <n v="8737740598"/>
    <n v="19"/>
    <x v="1"/>
    <m/>
    <s v="T010"/>
    <x v="9"/>
    <n v="1595.67"/>
    <x v="2"/>
    <x v="1"/>
  </r>
  <r>
    <s v="A011"/>
    <s v="P022"/>
    <s v="D007"/>
    <x v="10"/>
    <d v="1899-12-30T16:00:00"/>
    <s v="Checkup"/>
    <x v="1"/>
    <x v="1"/>
    <s v="Basic screening"/>
    <n v="4671.66"/>
    <d v="2023-11-12T00:00:00"/>
    <x v="7"/>
    <s v="Brown"/>
    <s v="M"/>
    <d v="1955-05-10T00:00:00"/>
    <n v="6221099573"/>
    <s v="321 Maple Dr"/>
    <n v="44327"/>
    <x v="1"/>
    <s v="INS258823"/>
    <s v="Robert"/>
    <s v="Davis"/>
    <x v="1"/>
    <n v="8217493115"/>
    <n v="26"/>
    <x v="2"/>
    <m/>
    <s v="T011"/>
    <x v="10"/>
    <n v="4671.66"/>
    <x v="2"/>
    <x v="2"/>
  </r>
  <r>
    <s v="A012"/>
    <s v="P029"/>
    <s v="D003"/>
    <x v="11"/>
    <d v="1899-12-30T10:00:00"/>
    <s v="Follow-up"/>
    <x v="3"/>
    <x v="0"/>
    <s v="Standard procedure"/>
    <n v="771.2"/>
    <d v="2023-05-07T00:00:00"/>
    <x v="4"/>
    <s v="Smith"/>
    <s v="M"/>
    <d v="2005-05-15T00:00:00"/>
    <n v="8923607677"/>
    <s v="789 Pine Rd"/>
    <n v="45035"/>
    <x v="3"/>
    <s v="INS630089"/>
    <s v="Jane"/>
    <s v="Smith"/>
    <x v="0"/>
    <n v="8737740598"/>
    <n v="19"/>
    <x v="1"/>
    <m/>
    <s v="T012"/>
    <x v="11"/>
    <n v="771.2"/>
    <x v="0"/>
    <x v="0"/>
  </r>
  <r>
    <s v="A013"/>
    <s v="P003"/>
    <s v="D002"/>
    <x v="12"/>
    <d v="1899-12-30T12:00:00"/>
    <s v="Emergency"/>
    <x v="0"/>
    <x v="1"/>
    <s v="Standard procedure"/>
    <n v="4704.96"/>
    <d v="2023-08-16T00:00:00"/>
    <x v="8"/>
    <s v="Jones"/>
    <s v="M"/>
    <d v="1977-08-21T00:00:00"/>
    <n v="8397029847"/>
    <s v="321 Maple Dr"/>
    <n v="44599"/>
    <x v="2"/>
    <s v="INS650929"/>
    <s v="Jane"/>
    <s v="Davis"/>
    <x v="0"/>
    <n v="9004382050"/>
    <n v="24"/>
    <x v="1"/>
    <m/>
    <s v="T013"/>
    <x v="12"/>
    <n v="4704.96"/>
    <x v="2"/>
    <x v="1"/>
  </r>
  <r>
    <s v="A014"/>
    <s v="P012"/>
    <s v="D010"/>
    <x v="13"/>
    <d v="1899-12-30T10:30:00"/>
    <s v="Emergency"/>
    <x v="2"/>
    <x v="2"/>
    <s v="Basic screening"/>
    <n v="2082.3000000000002"/>
    <d v="2023-05-25T00:00:00"/>
    <x v="8"/>
    <s v="Davis"/>
    <s v="F"/>
    <d v="1991-12-08T00:00:00"/>
    <n v="8135666049"/>
    <s v="321 Maple Dr"/>
    <n v="45043"/>
    <x v="1"/>
    <s v="INS104014"/>
    <s v="Linda"/>
    <s v="Wilson"/>
    <x v="1"/>
    <n v="6176383634"/>
    <n v="21"/>
    <x v="1"/>
    <m/>
    <s v="T014"/>
    <x v="13"/>
    <n v="2082.3000000000002"/>
    <x v="1"/>
    <x v="1"/>
  </r>
  <r>
    <s v="A015"/>
    <s v="P026"/>
    <s v="D004"/>
    <x v="14"/>
    <d v="1899-12-30T17:15:00"/>
    <s v="Consultation"/>
    <x v="1"/>
    <x v="3"/>
    <s v="Basic screening"/>
    <n v="956.39"/>
    <d v="2023-01-15T00:00:00"/>
    <x v="7"/>
    <s v="Taylor"/>
    <s v="M"/>
    <d v="2003-11-28T00:00:00"/>
    <n v="9900972256"/>
    <s v="123 Elm St"/>
    <n v="44329"/>
    <x v="1"/>
    <s v="INS598863"/>
    <s v="David"/>
    <s v="Jones"/>
    <x v="0"/>
    <n v="6594221991"/>
    <n v="28"/>
    <x v="0"/>
    <m/>
    <s v="T015"/>
    <x v="14"/>
    <n v="956.39"/>
    <x v="0"/>
    <x v="0"/>
  </r>
  <r>
    <s v="A016"/>
    <s v="P016"/>
    <s v="D008"/>
    <x v="15"/>
    <d v="1899-12-30T11:00:00"/>
    <s v="Consultation"/>
    <x v="0"/>
    <x v="1"/>
    <s v="Basic screening"/>
    <n v="2686.42"/>
    <d v="2023-06-30T00:00:00"/>
    <x v="5"/>
    <s v="Taylor"/>
    <s v="M"/>
    <d v="2000-07-22T00:00:00"/>
    <n v="7223380592"/>
    <s v="789 Pine Rd"/>
    <n v="44400"/>
    <x v="2"/>
    <s v="INS156958"/>
    <s v="Linda"/>
    <s v="Brown"/>
    <x v="2"/>
    <n v="9069162601"/>
    <n v="5"/>
    <x v="2"/>
    <m/>
    <s v="T008"/>
    <x v="7"/>
    <n v="3413.64"/>
    <x v="2"/>
    <x v="2"/>
  </r>
  <r>
    <s v="A017"/>
    <s v="P037"/>
    <s v="D009"/>
    <x v="16"/>
    <d v="1899-12-30T17:00:00"/>
    <s v="Emergency"/>
    <x v="0"/>
    <x v="1"/>
    <s v="Basic screening"/>
    <n v="1655.49"/>
    <d v="2023-07-11T00:00:00"/>
    <x v="2"/>
    <s v="Williams"/>
    <s v="M"/>
    <d v="1999-02-05T00:00:00"/>
    <n v="8886800195"/>
    <s v="456 Oak Ave"/>
    <n v="44469"/>
    <x v="3"/>
    <s v="INS319963"/>
    <s v="Sarah"/>
    <s v="Smith"/>
    <x v="0"/>
    <n v="7387087517"/>
    <n v="26"/>
    <x v="0"/>
    <m/>
    <s v="T017"/>
    <x v="15"/>
    <n v="1655.49"/>
    <x v="1"/>
    <x v="0"/>
  </r>
  <r>
    <s v="A018"/>
    <s v="P022"/>
    <s v="D007"/>
    <x v="17"/>
    <d v="1899-12-30T09:45:00"/>
    <s v="Consultation"/>
    <x v="2"/>
    <x v="2"/>
    <s v="Advanced protocol"/>
    <n v="1781.93"/>
    <d v="2023-11-14T00:00:00"/>
    <x v="7"/>
    <s v="Brown"/>
    <s v="M"/>
    <d v="1955-05-10T00:00:00"/>
    <n v="6221099573"/>
    <s v="321 Maple Dr"/>
    <n v="44327"/>
    <x v="1"/>
    <s v="INS258823"/>
    <s v="Robert"/>
    <s v="Davis"/>
    <x v="1"/>
    <n v="8217493115"/>
    <n v="26"/>
    <x v="2"/>
    <m/>
    <s v="T011"/>
    <x v="10"/>
    <n v="4671.66"/>
    <x v="2"/>
    <x v="2"/>
  </r>
  <r>
    <s v="A019"/>
    <s v="P029"/>
    <s v="D001"/>
    <x v="18"/>
    <d v="1899-12-30T15:30:00"/>
    <s v="Checkup"/>
    <x v="2"/>
    <x v="4"/>
    <s v="Basic screening"/>
    <n v="1882.8"/>
    <d v="2023-02-06T00:00:00"/>
    <x v="4"/>
    <s v="Smith"/>
    <s v="M"/>
    <d v="2005-05-15T00:00:00"/>
    <n v="8923607677"/>
    <s v="789 Pine Rd"/>
    <n v="45035"/>
    <x v="3"/>
    <s v="INS630089"/>
    <s v="David"/>
    <s v="Taylor"/>
    <x v="2"/>
    <n v="8322010158"/>
    <n v="17"/>
    <x v="2"/>
    <m/>
    <s v="T012"/>
    <x v="11"/>
    <n v="771.2"/>
    <x v="0"/>
    <x v="0"/>
  </r>
  <r>
    <s v="A020"/>
    <s v="P014"/>
    <s v="D003"/>
    <x v="19"/>
    <d v="1899-12-30T15:15:00"/>
    <s v="Consultation"/>
    <x v="3"/>
    <x v="0"/>
    <s v="Advanced protocol"/>
    <n v="4113.62"/>
    <d v="2023-12-05T00:00:00"/>
    <x v="0"/>
    <s v="Taylor"/>
    <s v="M"/>
    <d v="1968-02-27T00:00:00"/>
    <n v="7292262512"/>
    <s v="789 Pine Rd"/>
    <n v="45272"/>
    <x v="1"/>
    <s v="INS118070"/>
    <s v="Jane"/>
    <s v="Smith"/>
    <x v="0"/>
    <n v="8737740598"/>
    <n v="19"/>
    <x v="1"/>
    <m/>
    <s v="T020"/>
    <x v="16"/>
    <n v="4113.62"/>
    <x v="1"/>
    <x v="2"/>
  </r>
  <r>
    <s v="A021"/>
    <s v="P028"/>
    <s v="D009"/>
    <x v="20"/>
    <d v="1899-12-30T10:00:00"/>
    <s v="Therapy"/>
    <x v="1"/>
    <x v="4"/>
    <s v="Advanced protocol"/>
    <n v="2926.23"/>
    <d v="2023-04-24T00:00:00"/>
    <x v="0"/>
    <s v="Moore"/>
    <s v="M"/>
    <d v="1993-04-13T00:00:00"/>
    <n v="7028910482"/>
    <s v="321 Maple Dr"/>
    <n v="45066"/>
    <x v="1"/>
    <s v="INS679036"/>
    <s v="Sarah"/>
    <s v="Smith"/>
    <x v="0"/>
    <n v="7387087517"/>
    <n v="26"/>
    <x v="0"/>
    <m/>
    <s v="T021"/>
    <x v="17"/>
    <n v="2926.23"/>
    <x v="0"/>
    <x v="2"/>
  </r>
  <r>
    <s v="A022"/>
    <s v="P005"/>
    <s v="D001"/>
    <x v="17"/>
    <d v="1899-12-30T13:00:00"/>
    <s v="Consultation"/>
    <x v="1"/>
    <x v="3"/>
    <s v="Advanced protocol"/>
    <n v="1900.88"/>
    <d v="2023-11-14T00:00:00"/>
    <x v="4"/>
    <s v="Wilson"/>
    <s v="M"/>
    <d v="1960-06-23T00:00:00"/>
    <n v="7734463155"/>
    <s v="123 Elm St"/>
    <n v="44468"/>
    <x v="1"/>
    <s v="INS788105"/>
    <s v="David"/>
    <s v="Taylor"/>
    <x v="2"/>
    <n v="8322010158"/>
    <n v="17"/>
    <x v="2"/>
    <m/>
    <s v="T010"/>
    <x v="9"/>
    <n v="1595.67"/>
    <x v="2"/>
    <x v="1"/>
  </r>
  <r>
    <s v="A023"/>
    <s v="P047"/>
    <s v="D009"/>
    <x v="21"/>
    <d v="1899-12-30T14:30:00"/>
    <s v="Follow-up"/>
    <x v="2"/>
    <x v="1"/>
    <s v="Standard procedure"/>
    <n v="3246.5"/>
    <d v="2023-05-09T00:00:00"/>
    <x v="6"/>
    <s v="Moore"/>
    <s v="M"/>
    <d v="1995-12-13T00:00:00"/>
    <n v="8715732851"/>
    <s v="321 Maple Dr"/>
    <n v="44701"/>
    <x v="0"/>
    <s v="INS337549"/>
    <s v="Sarah"/>
    <s v="Smith"/>
    <x v="0"/>
    <n v="7387087517"/>
    <n v="26"/>
    <x v="0"/>
    <m/>
    <s v="T023"/>
    <x v="18"/>
    <n v="3246.5"/>
    <x v="1"/>
    <x v="0"/>
  </r>
  <r>
    <s v="A024"/>
    <s v="P049"/>
    <s v="D008"/>
    <x v="22"/>
    <d v="1899-12-30T08:00:00"/>
    <s v="Checkup"/>
    <x v="3"/>
    <x v="2"/>
    <s v="Advanced protocol"/>
    <n v="3722.68"/>
    <d v="2023-06-21T00:00:00"/>
    <x v="4"/>
    <s v="Moore"/>
    <s v="M"/>
    <d v="1972-11-26T00:00:00"/>
    <n v="7712937941"/>
    <s v="321 Maple Dr"/>
    <n v="45091"/>
    <x v="1"/>
    <s v="INS584299"/>
    <s v="Linda"/>
    <s v="Brown"/>
    <x v="2"/>
    <n v="9069162601"/>
    <n v="5"/>
    <x v="2"/>
    <m/>
    <s v="T024"/>
    <x v="19"/>
    <n v="3722.68"/>
    <x v="2"/>
    <x v="0"/>
  </r>
  <r>
    <s v="A025"/>
    <s v="P030"/>
    <s v="D001"/>
    <x v="23"/>
    <d v="1899-12-30T08:00:00"/>
    <s v="Follow-up"/>
    <x v="1"/>
    <x v="2"/>
    <s v="Advanced protocol"/>
    <n v="1726.81"/>
    <d v="2023-02-25T00:00:00"/>
    <x v="1"/>
    <s v="Moore"/>
    <s v="M"/>
    <d v="1964-12-23T00:00:00"/>
    <n v="6622318721"/>
    <s v="456 Oak Ave"/>
    <n v="44415"/>
    <x v="2"/>
    <s v="INS250262"/>
    <s v="David"/>
    <s v="Taylor"/>
    <x v="2"/>
    <n v="8322010158"/>
    <n v="17"/>
    <x v="2"/>
    <m/>
    <s v="T025"/>
    <x v="20"/>
    <n v="1726.81"/>
    <x v="2"/>
    <x v="2"/>
  </r>
  <r>
    <s v="A026"/>
    <s v="P046"/>
    <s v="D006"/>
    <x v="24"/>
    <d v="1899-12-30T14:15:00"/>
    <s v="Follow-up"/>
    <x v="2"/>
    <x v="0"/>
    <s v="Standard procedure"/>
    <n v="2360.9699999999998"/>
    <d v="2023-03-17T00:00:00"/>
    <x v="5"/>
    <s v="Taylor"/>
    <s v="F"/>
    <d v="1986-09-01T00:00:00"/>
    <n v="8019925828"/>
    <s v="456 Oak Ave"/>
    <n v="44408"/>
    <x v="1"/>
    <s v="INS368799"/>
    <s v="Alex"/>
    <s v="Davis"/>
    <x v="0"/>
    <n v="6570137231"/>
    <n v="23"/>
    <x v="0"/>
    <m/>
    <s v="T026"/>
    <x v="21"/>
    <n v="2360.9699999999998"/>
    <x v="0"/>
    <x v="1"/>
  </r>
  <r>
    <s v="A027"/>
    <s v="P005"/>
    <s v="D005"/>
    <x v="17"/>
    <d v="1899-12-30T12:45:00"/>
    <s v="Therapy"/>
    <x v="0"/>
    <x v="4"/>
    <s v="Standard procedure"/>
    <n v="1048.49"/>
    <d v="2023-11-14T00:00:00"/>
    <x v="4"/>
    <s v="Wilson"/>
    <s v="M"/>
    <d v="1960-06-23T00:00:00"/>
    <n v="7734463155"/>
    <s v="123 Elm St"/>
    <n v="44468"/>
    <x v="1"/>
    <s v="INS788105"/>
    <s v="Sarah"/>
    <s v="Taylor"/>
    <x v="2"/>
    <n v="9118538547"/>
    <n v="26"/>
    <x v="0"/>
    <m/>
    <s v="T010"/>
    <x v="9"/>
    <n v="1595.67"/>
    <x v="2"/>
    <x v="1"/>
  </r>
  <r>
    <s v="A028"/>
    <s v="P012"/>
    <s v="D006"/>
    <x v="25"/>
    <d v="1899-12-30T15:30:00"/>
    <s v="Checkup"/>
    <x v="1"/>
    <x v="0"/>
    <s v="Standard procedure"/>
    <n v="1315.17"/>
    <d v="2023-10-29T00:00:00"/>
    <x v="8"/>
    <s v="Davis"/>
    <s v="F"/>
    <d v="1991-12-08T00:00:00"/>
    <n v="8135666049"/>
    <s v="321 Maple Dr"/>
    <n v="45043"/>
    <x v="1"/>
    <s v="INS104014"/>
    <s v="Alex"/>
    <s v="Davis"/>
    <x v="0"/>
    <n v="6570137231"/>
    <n v="23"/>
    <x v="0"/>
    <m/>
    <s v="T014"/>
    <x v="13"/>
    <n v="2082.3000000000002"/>
    <x v="1"/>
    <x v="1"/>
  </r>
  <r>
    <s v="A029"/>
    <s v="P016"/>
    <s v="D010"/>
    <x v="26"/>
    <d v="1899-12-30T14:30:00"/>
    <s v="Checkup"/>
    <x v="3"/>
    <x v="1"/>
    <s v="Basic screening"/>
    <n v="3565.03"/>
    <d v="2023-06-25T00:00:00"/>
    <x v="5"/>
    <s v="Taylor"/>
    <s v="M"/>
    <d v="2000-07-22T00:00:00"/>
    <n v="7223380592"/>
    <s v="789 Pine Rd"/>
    <n v="44400"/>
    <x v="2"/>
    <s v="INS156958"/>
    <s v="Linda"/>
    <s v="Wilson"/>
    <x v="1"/>
    <n v="6176383634"/>
    <n v="21"/>
    <x v="1"/>
    <m/>
    <s v="T008"/>
    <x v="7"/>
    <n v="3413.64"/>
    <x v="2"/>
    <x v="2"/>
  </r>
  <r>
    <s v="A030"/>
    <s v="P026"/>
    <s v="D005"/>
    <x v="27"/>
    <d v="1899-12-30T13:15:00"/>
    <s v="Checkup"/>
    <x v="3"/>
    <x v="0"/>
    <s v="Standard procedure"/>
    <n v="1316.47"/>
    <d v="2023-08-29T00:00:00"/>
    <x v="7"/>
    <s v="Taylor"/>
    <s v="M"/>
    <d v="2003-11-28T00:00:00"/>
    <n v="9900972256"/>
    <s v="123 Elm St"/>
    <n v="44329"/>
    <x v="1"/>
    <s v="INS598863"/>
    <s v="Sarah"/>
    <s v="Taylor"/>
    <x v="2"/>
    <n v="9118538547"/>
    <n v="26"/>
    <x v="0"/>
    <m/>
    <s v="T015"/>
    <x v="14"/>
    <n v="956.39"/>
    <x v="0"/>
    <x v="0"/>
  </r>
  <r>
    <s v="A031"/>
    <s v="P026"/>
    <s v="D006"/>
    <x v="28"/>
    <d v="1899-12-30T10:30:00"/>
    <s v="Checkup"/>
    <x v="3"/>
    <x v="2"/>
    <s v="Standard procedure"/>
    <n v="2863.24"/>
    <d v="2023-04-04T00:00:00"/>
    <x v="7"/>
    <s v="Taylor"/>
    <s v="M"/>
    <d v="2003-11-28T00:00:00"/>
    <n v="9900972256"/>
    <s v="123 Elm St"/>
    <n v="44329"/>
    <x v="1"/>
    <s v="INS598863"/>
    <s v="Alex"/>
    <s v="Davis"/>
    <x v="0"/>
    <n v="6570137231"/>
    <n v="23"/>
    <x v="0"/>
    <m/>
    <s v="T015"/>
    <x v="14"/>
    <n v="956.39"/>
    <x v="0"/>
    <x v="0"/>
  </r>
  <r>
    <s v="A032"/>
    <s v="P048"/>
    <s v="D005"/>
    <x v="29"/>
    <d v="1899-12-30T10:45:00"/>
    <s v="Checkup"/>
    <x v="0"/>
    <x v="2"/>
    <s v="Advanced protocol"/>
    <n v="3690.71"/>
    <d v="2023-11-06T00:00:00"/>
    <x v="1"/>
    <s v="Miller"/>
    <s v="M"/>
    <d v="1983-03-24T00:00:00"/>
    <n v="8720989381"/>
    <s v="123 Elm St"/>
    <n v="45096"/>
    <x v="2"/>
    <s v="INS694319"/>
    <s v="Sarah"/>
    <s v="Taylor"/>
    <x v="2"/>
    <n v="9118538547"/>
    <n v="26"/>
    <x v="0"/>
    <m/>
    <s v="T003"/>
    <x v="2"/>
    <n v="3731.55"/>
    <x v="0"/>
    <x v="1"/>
  </r>
  <r>
    <s v="A033"/>
    <s v="P021"/>
    <s v="D005"/>
    <x v="30"/>
    <d v="1899-12-30T17:45:00"/>
    <s v="Therapy"/>
    <x v="1"/>
    <x v="3"/>
    <s v="Standard procedure"/>
    <n v="980.95"/>
    <d v="2023-09-23T00:00:00"/>
    <x v="5"/>
    <s v="Wilson"/>
    <s v="M"/>
    <d v="2002-03-01T00:00:00"/>
    <n v="7765390555"/>
    <s v="321 Maple Dr"/>
    <n v="44580"/>
    <x v="0"/>
    <s v="INS297392"/>
    <s v="Sarah"/>
    <s v="Taylor"/>
    <x v="2"/>
    <n v="9118538547"/>
    <n v="26"/>
    <x v="0"/>
    <m/>
    <s v="T033"/>
    <x v="22"/>
    <n v="980.95"/>
    <x v="1"/>
    <x v="1"/>
  </r>
  <r>
    <s v="A034"/>
    <s v="P039"/>
    <s v="D004"/>
    <x v="31"/>
    <d v="1899-12-30T11:30:00"/>
    <s v="Consultation"/>
    <x v="1"/>
    <x v="3"/>
    <s v="Basic screening"/>
    <n v="3052.9"/>
    <d v="2023-06-13T00:00:00"/>
    <x v="6"/>
    <s v="Wilson"/>
    <s v="F"/>
    <d v="1950-12-12T00:00:00"/>
    <n v="9271131338"/>
    <s v="789 Pine Rd"/>
    <n v="44264"/>
    <x v="2"/>
    <s v="INS348710"/>
    <s v="David"/>
    <s v="Jones"/>
    <x v="0"/>
    <n v="6594221991"/>
    <n v="28"/>
    <x v="0"/>
    <m/>
    <s v="T009"/>
    <x v="8"/>
    <n v="4541.1400000000003"/>
    <x v="1"/>
    <x v="1"/>
  </r>
  <r>
    <s v="A035"/>
    <s v="P036"/>
    <s v="D003"/>
    <x v="32"/>
    <d v="1899-12-30T08:45:00"/>
    <s v="Follow-up"/>
    <x v="0"/>
    <x v="1"/>
    <s v="Standard procedure"/>
    <n v="1654.53"/>
    <d v="2023-04-18T00:00:00"/>
    <x v="5"/>
    <s v="Wilson"/>
    <s v="M"/>
    <d v="1997-12-26T00:00:00"/>
    <n v="8545613046"/>
    <s v="123 Elm St"/>
    <n v="44838"/>
    <x v="1"/>
    <s v="INS764076"/>
    <s v="Jane"/>
    <s v="Smith"/>
    <x v="0"/>
    <n v="8737740598"/>
    <n v="19"/>
    <x v="1"/>
    <m/>
    <s v="T035"/>
    <x v="23"/>
    <n v="1654.53"/>
    <x v="0"/>
    <x v="2"/>
  </r>
  <r>
    <s v="A036"/>
    <s v="P033"/>
    <s v="D003"/>
    <x v="33"/>
    <d v="1899-12-30T14:30:00"/>
    <s v="Checkup"/>
    <x v="1"/>
    <x v="4"/>
    <s v="Basic screening"/>
    <n v="4833.17"/>
    <d v="2023-01-08T00:00:00"/>
    <x v="5"/>
    <s v="Wilson"/>
    <s v="F"/>
    <d v="1970-02-06T00:00:00"/>
    <n v="7923214041"/>
    <s v="789 Pine Rd"/>
    <n v="45175"/>
    <x v="1"/>
    <s v="INS544209"/>
    <s v="Jane"/>
    <s v="Smith"/>
    <x v="0"/>
    <n v="8737740598"/>
    <n v="19"/>
    <x v="1"/>
    <m/>
    <s v="T036"/>
    <x v="24"/>
    <n v="4833.17"/>
    <x v="2"/>
    <x v="0"/>
  </r>
  <r>
    <s v="A037"/>
    <s v="P030"/>
    <s v="D004"/>
    <x v="34"/>
    <d v="1899-12-30T11:00:00"/>
    <s v="Consultation"/>
    <x v="0"/>
    <x v="0"/>
    <s v="Standard procedure"/>
    <n v="2675.96"/>
    <d v="2023-03-28T00:00:00"/>
    <x v="1"/>
    <s v="Moore"/>
    <s v="M"/>
    <d v="1964-12-23T00:00:00"/>
    <n v="6622318721"/>
    <s v="456 Oak Ave"/>
    <n v="44415"/>
    <x v="2"/>
    <s v="INS250262"/>
    <s v="David"/>
    <s v="Jones"/>
    <x v="0"/>
    <n v="6594221991"/>
    <n v="28"/>
    <x v="0"/>
    <m/>
    <s v="T025"/>
    <x v="20"/>
    <n v="1726.81"/>
    <x v="2"/>
    <x v="2"/>
  </r>
  <r>
    <s v="A038"/>
    <s v="P037"/>
    <s v="D009"/>
    <x v="35"/>
    <d v="1899-12-30T13:00:00"/>
    <s v="Consultation"/>
    <x v="0"/>
    <x v="1"/>
    <s v="Standard procedure"/>
    <n v="4126.97"/>
    <d v="2023-02-23T00:00:00"/>
    <x v="2"/>
    <s v="Williams"/>
    <s v="M"/>
    <d v="1999-02-05T00:00:00"/>
    <n v="8886800195"/>
    <s v="456 Oak Ave"/>
    <n v="44469"/>
    <x v="3"/>
    <s v="INS319963"/>
    <s v="Sarah"/>
    <s v="Smith"/>
    <x v="0"/>
    <n v="7387087517"/>
    <n v="26"/>
    <x v="0"/>
    <m/>
    <s v="T017"/>
    <x v="15"/>
    <n v="1655.49"/>
    <x v="1"/>
    <x v="0"/>
  </r>
  <r>
    <s v="A039"/>
    <s v="P023"/>
    <s v="D002"/>
    <x v="36"/>
    <d v="1899-12-30T08:00:00"/>
    <s v="Follow-up"/>
    <x v="0"/>
    <x v="3"/>
    <s v="Standard procedure"/>
    <n v="2976.02"/>
    <d v="2023-04-17T00:00:00"/>
    <x v="3"/>
    <s v="Johnson"/>
    <s v="M"/>
    <d v="1994-02-22T00:00:00"/>
    <n v="6141951830"/>
    <s v="789 Pine Rd"/>
    <n v="44557"/>
    <x v="0"/>
    <s v="INS730152"/>
    <s v="Jane"/>
    <s v="Davis"/>
    <x v="0"/>
    <n v="9004382050"/>
    <n v="24"/>
    <x v="1"/>
    <m/>
    <s v="T039"/>
    <x v="25"/>
    <n v="2976.02"/>
    <x v="0"/>
    <x v="2"/>
  </r>
  <r>
    <s v="A040"/>
    <s v="P010"/>
    <s v="D009"/>
    <x v="37"/>
    <d v="1899-12-30T12:30:00"/>
    <s v="Therapy"/>
    <x v="3"/>
    <x v="0"/>
    <s v="Standard procedure"/>
    <n v="695.36"/>
    <d v="2023-03-27T00:00:00"/>
    <x v="5"/>
    <s v="Taylor"/>
    <s v="M"/>
    <d v="2001-10-13T00:00:00"/>
    <n v="7081396733"/>
    <s v="123 Elm St"/>
    <n v="44797"/>
    <x v="0"/>
    <s v="INS866577"/>
    <s v="Sarah"/>
    <s v="Smith"/>
    <x v="0"/>
    <n v="7387087517"/>
    <n v="26"/>
    <x v="0"/>
    <m/>
    <s v="T040"/>
    <x v="26"/>
    <n v="695.36"/>
    <x v="2"/>
    <x v="2"/>
  </r>
  <r>
    <s v="A041"/>
    <s v="P005"/>
    <s v="D001"/>
    <x v="38"/>
    <d v="1899-12-30T14:00:00"/>
    <s v="Emergency"/>
    <x v="1"/>
    <x v="3"/>
    <s v="Basic screening"/>
    <n v="3349.18"/>
    <d v="2023-01-01T00:00:00"/>
    <x v="4"/>
    <s v="Wilson"/>
    <s v="M"/>
    <d v="1960-06-23T00:00:00"/>
    <n v="7734463155"/>
    <s v="123 Elm St"/>
    <n v="44468"/>
    <x v="1"/>
    <s v="INS788105"/>
    <s v="David"/>
    <s v="Taylor"/>
    <x v="2"/>
    <n v="8322010158"/>
    <n v="17"/>
    <x v="2"/>
    <m/>
    <s v="T010"/>
    <x v="9"/>
    <n v="1595.67"/>
    <x v="2"/>
    <x v="1"/>
  </r>
  <r>
    <s v="A042"/>
    <s v="P036"/>
    <s v="D001"/>
    <x v="39"/>
    <d v="1899-12-30T11:15:00"/>
    <s v="Emergency"/>
    <x v="0"/>
    <x v="0"/>
    <s v="Basic screening"/>
    <n v="4781.32"/>
    <d v="2023-03-21T00:00:00"/>
    <x v="5"/>
    <s v="Wilson"/>
    <s v="M"/>
    <d v="1997-12-26T00:00:00"/>
    <n v="8545613046"/>
    <s v="123 Elm St"/>
    <n v="44838"/>
    <x v="1"/>
    <s v="INS764076"/>
    <s v="David"/>
    <s v="Taylor"/>
    <x v="2"/>
    <n v="8322010158"/>
    <n v="17"/>
    <x v="2"/>
    <m/>
    <s v="T035"/>
    <x v="23"/>
    <n v="1654.53"/>
    <x v="0"/>
    <x v="2"/>
  </r>
  <r>
    <s v="A043"/>
    <s v="P034"/>
    <s v="D005"/>
    <x v="40"/>
    <d v="1899-12-30T09:15:00"/>
    <s v="Consultation"/>
    <x v="1"/>
    <x v="4"/>
    <s v="Advanced protocol"/>
    <n v="3207.25"/>
    <d v="2023-03-29T00:00:00"/>
    <x v="0"/>
    <s v="Smith"/>
    <s v="F"/>
    <d v="1950-01-26T00:00:00"/>
    <n v="8374657733"/>
    <s v="321 Maple Dr"/>
    <n v="45095"/>
    <x v="0"/>
    <s v="INS653880"/>
    <s v="Sarah"/>
    <s v="Taylor"/>
    <x v="2"/>
    <n v="9118538547"/>
    <n v="26"/>
    <x v="0"/>
    <m/>
    <s v="T001"/>
    <x v="0"/>
    <n v="3941.97"/>
    <x v="0"/>
    <x v="0"/>
  </r>
  <r>
    <s v="A044"/>
    <s v="P031"/>
    <s v="D006"/>
    <x v="41"/>
    <d v="1899-12-30T12:30:00"/>
    <s v="Follow-up"/>
    <x v="3"/>
    <x v="1"/>
    <s v="Basic screening"/>
    <n v="4186.3500000000004"/>
    <d v="2023-09-20T00:00:00"/>
    <x v="2"/>
    <s v="Miller"/>
    <s v="M"/>
    <d v="1987-01-14T00:00:00"/>
    <n v="8280346676"/>
    <s v="321 Maple Dr"/>
    <n v="44740"/>
    <x v="0"/>
    <s v="INS542905"/>
    <s v="Alex"/>
    <s v="Davis"/>
    <x v="0"/>
    <n v="6570137231"/>
    <n v="23"/>
    <x v="0"/>
    <m/>
    <s v="T044"/>
    <x v="27"/>
    <n v="4186.3500000000004"/>
    <x v="0"/>
    <x v="1"/>
  </r>
  <r>
    <s v="A045"/>
    <s v="P010"/>
    <s v="D006"/>
    <x v="42"/>
    <d v="1899-12-30T17:00:00"/>
    <s v="Emergency"/>
    <x v="0"/>
    <x v="0"/>
    <s v="Standard procedure"/>
    <n v="4478.93"/>
    <d v="2023-09-28T00:00:00"/>
    <x v="5"/>
    <s v="Taylor"/>
    <s v="M"/>
    <d v="2001-10-13T00:00:00"/>
    <n v="7081396733"/>
    <s v="123 Elm St"/>
    <n v="44797"/>
    <x v="0"/>
    <s v="INS866577"/>
    <s v="Alex"/>
    <s v="Davis"/>
    <x v="0"/>
    <n v="6570137231"/>
    <n v="23"/>
    <x v="0"/>
    <m/>
    <s v="T040"/>
    <x v="26"/>
    <n v="695.36"/>
    <x v="2"/>
    <x v="2"/>
  </r>
  <r>
    <s v="A046"/>
    <s v="P019"/>
    <s v="D003"/>
    <x v="43"/>
    <d v="1899-12-30T13:15:00"/>
    <s v="Consultation"/>
    <x v="2"/>
    <x v="2"/>
    <s v="Advanced protocol"/>
    <n v="1526.36"/>
    <d v="2023-12-20T00:00:00"/>
    <x v="9"/>
    <s v="Miller"/>
    <s v="M"/>
    <d v="1975-05-24T00:00:00"/>
    <n v="8618058864"/>
    <s v="789 Pine Rd"/>
    <n v="45101"/>
    <x v="0"/>
    <s v="INS855073"/>
    <s v="Jane"/>
    <s v="Smith"/>
    <x v="0"/>
    <n v="8737740598"/>
    <n v="19"/>
    <x v="1"/>
    <m/>
    <s v="T046"/>
    <x v="28"/>
    <n v="1526.36"/>
    <x v="2"/>
    <x v="1"/>
  </r>
  <r>
    <s v="A047"/>
    <s v="P032"/>
    <s v="D007"/>
    <x v="44"/>
    <d v="1899-12-30T11:00:00"/>
    <s v="Therapy"/>
    <x v="3"/>
    <x v="2"/>
    <s v="Advanced protocol"/>
    <n v="1454.2"/>
    <d v="2023-05-02T00:00:00"/>
    <x v="0"/>
    <s v="Moore"/>
    <s v="M"/>
    <d v="1981-01-08T00:00:00"/>
    <n v="8102183595"/>
    <s v="123 Elm St"/>
    <n v="44471"/>
    <x v="1"/>
    <s v="INS335362"/>
    <s v="Robert"/>
    <s v="Davis"/>
    <x v="1"/>
    <n v="8217493115"/>
    <n v="26"/>
    <x v="2"/>
    <m/>
    <s v="T002"/>
    <x v="1"/>
    <n v="4158.4399999999996"/>
    <x v="0"/>
    <x v="1"/>
  </r>
  <r>
    <s v="A048"/>
    <s v="P001"/>
    <s v="D009"/>
    <x v="45"/>
    <d v="1899-12-30T15:45:00"/>
    <s v="Emergency"/>
    <x v="2"/>
    <x v="0"/>
    <s v="Advanced protocol"/>
    <n v="3249.41"/>
    <d v="2023-01-16T00:00:00"/>
    <x v="4"/>
    <s v="Williams"/>
    <s v="F"/>
    <d v="1955-06-04T00:00:00"/>
    <n v="6939585183"/>
    <s v="789 Pine Rd"/>
    <n v="44735"/>
    <x v="0"/>
    <s v="INS840674"/>
    <s v="Sarah"/>
    <s v="Smith"/>
    <x v="0"/>
    <n v="7387087517"/>
    <n v="26"/>
    <x v="0"/>
    <m/>
    <s v="T007"/>
    <x v="6"/>
    <n v="534.03"/>
    <x v="2"/>
    <x v="2"/>
  </r>
  <r>
    <s v="A049"/>
    <s v="P005"/>
    <s v="D010"/>
    <x v="46"/>
    <d v="1899-12-30T15:30:00"/>
    <s v="Consultation"/>
    <x v="1"/>
    <x v="0"/>
    <s v="Standard procedure"/>
    <n v="2349.63"/>
    <d v="2023-04-30T00:00:00"/>
    <x v="4"/>
    <s v="Wilson"/>
    <s v="M"/>
    <d v="1960-06-23T00:00:00"/>
    <n v="7734463155"/>
    <s v="123 Elm St"/>
    <n v="44468"/>
    <x v="1"/>
    <s v="INS788105"/>
    <s v="Linda"/>
    <s v="Wilson"/>
    <x v="1"/>
    <n v="6176383634"/>
    <n v="21"/>
    <x v="1"/>
    <m/>
    <s v="T010"/>
    <x v="9"/>
    <n v="1595.67"/>
    <x v="2"/>
    <x v="1"/>
  </r>
  <r>
    <s v="A050"/>
    <s v="P045"/>
    <s v="D008"/>
    <x v="12"/>
    <d v="1899-12-30T15:00:00"/>
    <s v="Consultation"/>
    <x v="1"/>
    <x v="0"/>
    <s v="Basic screening"/>
    <n v="4279.38"/>
    <d v="2023-08-16T00:00:00"/>
    <x v="3"/>
    <s v="Miller"/>
    <s v="F"/>
    <d v="1966-04-25T00:00:00"/>
    <n v="7579616535"/>
    <s v="321 Maple Dr"/>
    <n v="44219"/>
    <x v="1"/>
    <s v="INS701863"/>
    <s v="Linda"/>
    <s v="Brown"/>
    <x v="2"/>
    <n v="9069162601"/>
    <n v="5"/>
    <x v="2"/>
    <m/>
    <s v="T006"/>
    <x v="5"/>
    <n v="1381"/>
    <x v="0"/>
    <x v="0"/>
  </r>
  <r>
    <s v="A051"/>
    <s v="P004"/>
    <s v="D006"/>
    <x v="47"/>
    <d v="1899-12-30T11:45:00"/>
    <s v="Checkup"/>
    <x v="3"/>
    <x v="2"/>
    <s v="Standard procedure"/>
    <n v="4550.1000000000004"/>
    <d v="2023-02-04T00:00:00"/>
    <x v="5"/>
    <s v="Johnson"/>
    <s v="F"/>
    <d v="1981-02-20T00:00:00"/>
    <n v="9019443432"/>
    <s v="123 Elm St"/>
    <n v="44257"/>
    <x v="3"/>
    <s v="INS789944"/>
    <s v="Alex"/>
    <s v="Davis"/>
    <x v="0"/>
    <n v="6570137231"/>
    <n v="23"/>
    <x v="0"/>
    <m/>
    <s v="T051"/>
    <x v="29"/>
    <n v="4550.1000000000004"/>
    <x v="1"/>
    <x v="2"/>
  </r>
  <r>
    <s v="A052"/>
    <s v="P016"/>
    <s v="D008"/>
    <x v="48"/>
    <d v="1899-12-30T09:30:00"/>
    <s v="Therapy"/>
    <x v="1"/>
    <x v="2"/>
    <s v="Advanced protocol"/>
    <n v="2090.4"/>
    <d v="2023-07-12T00:00:00"/>
    <x v="5"/>
    <s v="Taylor"/>
    <s v="M"/>
    <d v="2000-07-22T00:00:00"/>
    <n v="7223380592"/>
    <s v="789 Pine Rd"/>
    <n v="44400"/>
    <x v="2"/>
    <s v="INS156958"/>
    <s v="Linda"/>
    <s v="Brown"/>
    <x v="2"/>
    <n v="9069162601"/>
    <n v="5"/>
    <x v="2"/>
    <m/>
    <s v="T008"/>
    <x v="7"/>
    <n v="3413.64"/>
    <x v="2"/>
    <x v="2"/>
  </r>
  <r>
    <s v="A053"/>
    <s v="P024"/>
    <s v="D005"/>
    <x v="49"/>
    <d v="1899-12-30T10:30:00"/>
    <s v="Checkup"/>
    <x v="2"/>
    <x v="0"/>
    <s v="Standard procedure"/>
    <n v="1565.92"/>
    <d v="2023-02-12T00:00:00"/>
    <x v="9"/>
    <s v="Brown"/>
    <s v="F"/>
    <d v="1991-11-04T00:00:00"/>
    <n v="7196777444"/>
    <s v="321 Maple Dr"/>
    <n v="44441"/>
    <x v="0"/>
    <s v="INS493002"/>
    <s v="Sarah"/>
    <s v="Taylor"/>
    <x v="2"/>
    <n v="9118538547"/>
    <n v="26"/>
    <x v="0"/>
    <m/>
    <s v="T053"/>
    <x v="30"/>
    <n v="1565.92"/>
    <x v="0"/>
    <x v="0"/>
  </r>
  <r>
    <s v="A054"/>
    <s v="P016"/>
    <s v="D008"/>
    <x v="50"/>
    <d v="1899-12-30T11:45:00"/>
    <s v="Follow-up"/>
    <x v="0"/>
    <x v="3"/>
    <s v="Standard procedure"/>
    <n v="4012.36"/>
    <d v="2023-12-16T00:00:00"/>
    <x v="5"/>
    <s v="Taylor"/>
    <s v="M"/>
    <d v="2000-07-22T00:00:00"/>
    <n v="7223380592"/>
    <s v="789 Pine Rd"/>
    <n v="44400"/>
    <x v="2"/>
    <s v="INS156958"/>
    <s v="Linda"/>
    <s v="Brown"/>
    <x v="2"/>
    <n v="9069162601"/>
    <n v="5"/>
    <x v="2"/>
    <m/>
    <s v="T008"/>
    <x v="7"/>
    <n v="3413.64"/>
    <x v="2"/>
    <x v="2"/>
  </r>
  <r>
    <s v="A055"/>
    <s v="P002"/>
    <s v="D010"/>
    <x v="51"/>
    <d v="1899-12-30T17:30:00"/>
    <s v="Checkup"/>
    <x v="0"/>
    <x v="3"/>
    <s v="Basic screening"/>
    <n v="1736.63"/>
    <d v="2023-10-06T00:00:00"/>
    <x v="1"/>
    <s v="Smith"/>
    <s v="F"/>
    <d v="1984-10-12T00:00:00"/>
    <n v="8228188767"/>
    <s v="321 Maple Dr"/>
    <n v="44576"/>
    <x v="2"/>
    <s v="INS354079"/>
    <s v="Linda"/>
    <s v="Wilson"/>
    <x v="1"/>
    <n v="6176383634"/>
    <n v="21"/>
    <x v="1"/>
    <m/>
    <s v="T055"/>
    <x v="31"/>
    <n v="1736.63"/>
    <x v="2"/>
    <x v="2"/>
  </r>
  <r>
    <s v="A056"/>
    <s v="P049"/>
    <s v="D004"/>
    <x v="52"/>
    <d v="1899-12-30T12:45:00"/>
    <s v="Checkup"/>
    <x v="0"/>
    <x v="4"/>
    <s v="Basic screening"/>
    <n v="4201.76"/>
    <d v="2023-01-02T00:00:00"/>
    <x v="4"/>
    <s v="Moore"/>
    <s v="M"/>
    <d v="1972-11-26T00:00:00"/>
    <n v="7712937941"/>
    <s v="321 Maple Dr"/>
    <n v="45091"/>
    <x v="1"/>
    <s v="INS584299"/>
    <s v="David"/>
    <s v="Jones"/>
    <x v="0"/>
    <n v="6594221991"/>
    <n v="28"/>
    <x v="0"/>
    <m/>
    <s v="T024"/>
    <x v="19"/>
    <n v="3722.68"/>
    <x v="2"/>
    <x v="0"/>
  </r>
  <r>
    <s v="A057"/>
    <s v="P028"/>
    <s v="D010"/>
    <x v="53"/>
    <d v="1899-12-30T17:45:00"/>
    <s v="Emergency"/>
    <x v="3"/>
    <x v="1"/>
    <s v="Advanced protocol"/>
    <n v="2406.8200000000002"/>
    <d v="2023-04-15T00:00:00"/>
    <x v="0"/>
    <s v="Moore"/>
    <s v="M"/>
    <d v="1993-04-13T00:00:00"/>
    <n v="7028910482"/>
    <s v="321 Maple Dr"/>
    <n v="45066"/>
    <x v="1"/>
    <s v="INS679036"/>
    <s v="Linda"/>
    <s v="Wilson"/>
    <x v="1"/>
    <n v="6176383634"/>
    <n v="21"/>
    <x v="1"/>
    <m/>
    <s v="T021"/>
    <x v="17"/>
    <n v="2926.23"/>
    <x v="0"/>
    <x v="2"/>
  </r>
  <r>
    <s v="A058"/>
    <s v="P032"/>
    <s v="D008"/>
    <x v="21"/>
    <d v="1899-12-30T13:15:00"/>
    <s v="Consultation"/>
    <x v="1"/>
    <x v="3"/>
    <s v="Standard procedure"/>
    <n v="3503.97"/>
    <d v="2023-05-09T00:00:00"/>
    <x v="0"/>
    <s v="Moore"/>
    <s v="M"/>
    <d v="1981-01-08T00:00:00"/>
    <n v="8102183595"/>
    <s v="123 Elm St"/>
    <n v="44471"/>
    <x v="1"/>
    <s v="INS335362"/>
    <s v="Linda"/>
    <s v="Brown"/>
    <x v="2"/>
    <n v="9069162601"/>
    <n v="5"/>
    <x v="2"/>
    <m/>
    <s v="T002"/>
    <x v="1"/>
    <n v="4158.4399999999996"/>
    <x v="0"/>
    <x v="1"/>
  </r>
  <r>
    <s v="A059"/>
    <s v="P027"/>
    <s v="D010"/>
    <x v="54"/>
    <d v="1899-12-30T15:30:00"/>
    <s v="Therapy"/>
    <x v="2"/>
    <x v="2"/>
    <s v="Standard procedure"/>
    <n v="929.91"/>
    <d v="2023-03-09T00:00:00"/>
    <x v="3"/>
    <s v="Moore"/>
    <s v="F"/>
    <d v="1998-06-29T00:00:00"/>
    <n v="8724518272"/>
    <s v="321 Maple Dr"/>
    <n v="44423"/>
    <x v="3"/>
    <s v="INS467654"/>
    <s v="Linda"/>
    <s v="Wilson"/>
    <x v="1"/>
    <n v="6176383634"/>
    <n v="21"/>
    <x v="1"/>
    <m/>
    <s v="T059"/>
    <x v="32"/>
    <n v="929.91"/>
    <x v="2"/>
    <x v="0"/>
  </r>
  <r>
    <s v="A060"/>
    <s v="P020"/>
    <s v="D002"/>
    <x v="55"/>
    <d v="1899-12-30T17:15:00"/>
    <s v="Checkup"/>
    <x v="1"/>
    <x v="3"/>
    <s v="Basic screening"/>
    <n v="3307.37"/>
    <d v="2023-11-22T00:00:00"/>
    <x v="6"/>
    <s v="Moore"/>
    <s v="F"/>
    <d v="2003-06-06T00:00:00"/>
    <n v="8158989953"/>
    <s v="789 Pine Rd"/>
    <n v="44654"/>
    <x v="1"/>
    <s v="INS276089"/>
    <s v="Jane"/>
    <s v="Davis"/>
    <x v="0"/>
    <n v="9004382050"/>
    <n v="24"/>
    <x v="1"/>
    <m/>
    <s v="T060"/>
    <x v="33"/>
    <n v="3307.37"/>
    <x v="0"/>
    <x v="0"/>
  </r>
  <r>
    <s v="A061"/>
    <s v="P024"/>
    <s v="D005"/>
    <x v="14"/>
    <d v="1899-12-30T17:00:00"/>
    <s v="Therapy"/>
    <x v="1"/>
    <x v="4"/>
    <s v="Standard procedure"/>
    <n v="2532.9499999999998"/>
    <d v="2023-01-15T00:00:00"/>
    <x v="9"/>
    <s v="Brown"/>
    <s v="F"/>
    <d v="1991-11-04T00:00:00"/>
    <n v="7196777444"/>
    <s v="321 Maple Dr"/>
    <n v="44441"/>
    <x v="0"/>
    <s v="INS493002"/>
    <s v="Sarah"/>
    <s v="Taylor"/>
    <x v="2"/>
    <n v="9118538547"/>
    <n v="26"/>
    <x v="0"/>
    <m/>
    <s v="T053"/>
    <x v="30"/>
    <n v="1565.92"/>
    <x v="0"/>
    <x v="0"/>
  </r>
  <r>
    <s v="A062"/>
    <s v="P012"/>
    <s v="D009"/>
    <x v="56"/>
    <d v="1899-12-30T15:15:00"/>
    <s v="Checkup"/>
    <x v="1"/>
    <x v="4"/>
    <s v="Standard procedure"/>
    <n v="3139.74"/>
    <d v="2023-06-14T00:00:00"/>
    <x v="8"/>
    <s v="Davis"/>
    <s v="F"/>
    <d v="1991-12-08T00:00:00"/>
    <n v="8135666049"/>
    <s v="321 Maple Dr"/>
    <n v="45043"/>
    <x v="1"/>
    <s v="INS104014"/>
    <s v="Sarah"/>
    <s v="Smith"/>
    <x v="0"/>
    <n v="7387087517"/>
    <n v="26"/>
    <x v="0"/>
    <m/>
    <s v="T014"/>
    <x v="13"/>
    <n v="2082.3000000000002"/>
    <x v="1"/>
    <x v="1"/>
  </r>
  <r>
    <s v="A063"/>
    <s v="P050"/>
    <s v="D004"/>
    <x v="57"/>
    <d v="1899-12-30T09:00:00"/>
    <s v="Follow-up"/>
    <x v="0"/>
    <x v="1"/>
    <s v="Standard procedure"/>
    <n v="1256.06"/>
    <d v="2023-06-29T00:00:00"/>
    <x v="8"/>
    <s v="Wilson"/>
    <s v="M"/>
    <d v="1993-12-27T00:00:00"/>
    <n v="8301134730"/>
    <s v="321 Maple Dr"/>
    <n v="45044"/>
    <x v="0"/>
    <s v="INS712210"/>
    <s v="David"/>
    <s v="Jones"/>
    <x v="0"/>
    <n v="6594221991"/>
    <n v="28"/>
    <x v="0"/>
    <m/>
    <s v="T063"/>
    <x v="34"/>
    <n v="1256.06"/>
    <x v="0"/>
    <x v="2"/>
  </r>
  <r>
    <s v="A064"/>
    <s v="P035"/>
    <s v="D006"/>
    <x v="58"/>
    <d v="1899-12-30T08:30:00"/>
    <s v="Checkup"/>
    <x v="2"/>
    <x v="3"/>
    <s v="Basic screening"/>
    <n v="3815.93"/>
    <d v="2023-05-31T00:00:00"/>
    <x v="4"/>
    <s v="Wilson"/>
    <s v="F"/>
    <d v="1993-04-13T00:00:00"/>
    <n v="7039619487"/>
    <s v="123 Elm St"/>
    <n v="45116"/>
    <x v="1"/>
    <s v="INS897079"/>
    <s v="Alex"/>
    <s v="Davis"/>
    <x v="0"/>
    <n v="6570137231"/>
    <n v="23"/>
    <x v="0"/>
    <m/>
    <s v="T064"/>
    <x v="35"/>
    <n v="3815.93"/>
    <x v="2"/>
    <x v="1"/>
  </r>
  <r>
    <s v="A065"/>
    <s v="P033"/>
    <s v="D001"/>
    <x v="20"/>
    <d v="1899-12-30T15:45:00"/>
    <s v="Emergency"/>
    <x v="2"/>
    <x v="2"/>
    <s v="Advanced protocol"/>
    <n v="4382.59"/>
    <d v="2023-04-24T00:00:00"/>
    <x v="5"/>
    <s v="Wilson"/>
    <s v="F"/>
    <d v="1970-02-06T00:00:00"/>
    <n v="7923214041"/>
    <s v="789 Pine Rd"/>
    <n v="45175"/>
    <x v="1"/>
    <s v="INS544209"/>
    <s v="David"/>
    <s v="Taylor"/>
    <x v="2"/>
    <n v="8322010158"/>
    <n v="17"/>
    <x v="2"/>
    <m/>
    <s v="T036"/>
    <x v="24"/>
    <n v="4833.17"/>
    <x v="2"/>
    <x v="0"/>
  </r>
  <r>
    <s v="A066"/>
    <s v="P033"/>
    <s v="D009"/>
    <x v="59"/>
    <d v="1899-12-30T11:45:00"/>
    <s v="Consultation"/>
    <x v="1"/>
    <x v="2"/>
    <s v="Advanced protocol"/>
    <n v="1475.33"/>
    <d v="2023-05-10T00:00:00"/>
    <x v="5"/>
    <s v="Wilson"/>
    <s v="F"/>
    <d v="1970-02-06T00:00:00"/>
    <n v="7923214041"/>
    <s v="789 Pine Rd"/>
    <n v="45175"/>
    <x v="1"/>
    <s v="INS544209"/>
    <s v="Sarah"/>
    <s v="Smith"/>
    <x v="0"/>
    <n v="7387087517"/>
    <n v="26"/>
    <x v="0"/>
    <m/>
    <s v="T036"/>
    <x v="24"/>
    <n v="4833.17"/>
    <x v="2"/>
    <x v="0"/>
  </r>
  <r>
    <s v="A067"/>
    <s v="P043"/>
    <s v="D001"/>
    <x v="60"/>
    <d v="1899-12-30T11:00:00"/>
    <s v="Follow-up"/>
    <x v="0"/>
    <x v="0"/>
    <s v="Standard procedure"/>
    <n v="930.72"/>
    <d v="2023-08-10T00:00:00"/>
    <x v="3"/>
    <s v="Brown"/>
    <s v="M"/>
    <d v="1980-03-25T00:00:00"/>
    <n v="9127665406"/>
    <s v="789 Pine Rd"/>
    <n v="44760"/>
    <x v="0"/>
    <s v="INS882355"/>
    <s v="David"/>
    <s v="Taylor"/>
    <x v="2"/>
    <n v="8322010158"/>
    <n v="17"/>
    <x v="2"/>
    <m/>
    <s v="T067"/>
    <x v="36"/>
    <n v="930.72"/>
    <x v="1"/>
    <x v="0"/>
  </r>
  <r>
    <s v="A068"/>
    <s v="P037"/>
    <s v="D005"/>
    <x v="61"/>
    <d v="1899-12-30T15:00:00"/>
    <s v="Checkup"/>
    <x v="0"/>
    <x v="2"/>
    <s v="Advanced protocol"/>
    <n v="606.37"/>
    <d v="2023-03-14T00:00:00"/>
    <x v="2"/>
    <s v="Williams"/>
    <s v="M"/>
    <d v="1999-02-05T00:00:00"/>
    <n v="8886800195"/>
    <s v="456 Oak Ave"/>
    <n v="44469"/>
    <x v="3"/>
    <s v="INS319963"/>
    <s v="Sarah"/>
    <s v="Taylor"/>
    <x v="2"/>
    <n v="9118538547"/>
    <n v="26"/>
    <x v="0"/>
    <m/>
    <s v="T017"/>
    <x v="15"/>
    <n v="1655.49"/>
    <x v="1"/>
    <x v="0"/>
  </r>
  <r>
    <s v="A069"/>
    <s v="P012"/>
    <s v="D004"/>
    <x v="40"/>
    <d v="1899-12-30T15:30:00"/>
    <s v="Therapy"/>
    <x v="2"/>
    <x v="1"/>
    <s v="Basic screening"/>
    <n v="3388.87"/>
    <d v="2023-03-29T00:00:00"/>
    <x v="8"/>
    <s v="Davis"/>
    <s v="F"/>
    <d v="1991-12-08T00:00:00"/>
    <n v="8135666049"/>
    <s v="321 Maple Dr"/>
    <n v="45043"/>
    <x v="1"/>
    <s v="INS104014"/>
    <s v="David"/>
    <s v="Jones"/>
    <x v="0"/>
    <n v="6594221991"/>
    <n v="28"/>
    <x v="0"/>
    <m/>
    <s v="T014"/>
    <x v="13"/>
    <n v="2082.3000000000002"/>
    <x v="1"/>
    <x v="1"/>
  </r>
  <r>
    <s v="A070"/>
    <s v="P003"/>
    <s v="D003"/>
    <x v="62"/>
    <d v="1899-12-30T17:00:00"/>
    <s v="Follow-up"/>
    <x v="0"/>
    <x v="1"/>
    <s v="Basic screening"/>
    <n v="3231.92"/>
    <d v="2023-08-26T00:00:00"/>
    <x v="8"/>
    <s v="Jones"/>
    <s v="M"/>
    <d v="1977-08-21T00:00:00"/>
    <n v="8397029847"/>
    <s v="321 Maple Dr"/>
    <n v="44599"/>
    <x v="2"/>
    <s v="INS650929"/>
    <s v="Jane"/>
    <s v="Smith"/>
    <x v="0"/>
    <n v="8737740598"/>
    <n v="19"/>
    <x v="1"/>
    <m/>
    <s v="T013"/>
    <x v="12"/>
    <n v="4704.96"/>
    <x v="2"/>
    <x v="1"/>
  </r>
  <r>
    <s v="A071"/>
    <s v="P001"/>
    <s v="D006"/>
    <x v="63"/>
    <d v="1899-12-30T17:00:00"/>
    <s v="Follow-up"/>
    <x v="0"/>
    <x v="2"/>
    <s v="Advanced protocol"/>
    <n v="2960.14"/>
    <d v="2023-01-26T00:00:00"/>
    <x v="4"/>
    <s v="Williams"/>
    <s v="F"/>
    <d v="1955-06-04T00:00:00"/>
    <n v="6939585183"/>
    <s v="789 Pine Rd"/>
    <n v="44735"/>
    <x v="0"/>
    <s v="INS840674"/>
    <s v="Alex"/>
    <s v="Davis"/>
    <x v="0"/>
    <n v="6570137231"/>
    <n v="23"/>
    <x v="0"/>
    <m/>
    <s v="T007"/>
    <x v="6"/>
    <n v="534.03"/>
    <x v="2"/>
    <x v="2"/>
  </r>
  <r>
    <s v="A072"/>
    <s v="P033"/>
    <s v="D002"/>
    <x v="64"/>
    <d v="1899-12-30T13:30:00"/>
    <s v="Checkup"/>
    <x v="0"/>
    <x v="2"/>
    <s v="Advanced protocol"/>
    <n v="1543.76"/>
    <d v="2023-06-12T00:00:00"/>
    <x v="5"/>
    <s v="Wilson"/>
    <s v="F"/>
    <d v="1970-02-06T00:00:00"/>
    <n v="7923214041"/>
    <s v="789 Pine Rd"/>
    <n v="45175"/>
    <x v="1"/>
    <s v="INS544209"/>
    <s v="Jane"/>
    <s v="Davis"/>
    <x v="0"/>
    <n v="9004382050"/>
    <n v="24"/>
    <x v="1"/>
    <m/>
    <s v="T036"/>
    <x v="24"/>
    <n v="4833.17"/>
    <x v="2"/>
    <x v="0"/>
  </r>
  <r>
    <s v="A073"/>
    <s v="P040"/>
    <s v="D003"/>
    <x v="65"/>
    <d v="1899-12-30T15:00:00"/>
    <s v="Follow-up"/>
    <x v="3"/>
    <x v="0"/>
    <s v="Standard procedure"/>
    <n v="2259.08"/>
    <d v="2023-12-24T00:00:00"/>
    <x v="1"/>
    <s v="Williams"/>
    <s v="M"/>
    <d v="1972-05-30T00:00:00"/>
    <n v="7587653815"/>
    <s v="456 Oak Ave"/>
    <n v="44485"/>
    <x v="2"/>
    <s v="INS320984"/>
    <s v="Jane"/>
    <s v="Smith"/>
    <x v="0"/>
    <n v="8737740598"/>
    <n v="19"/>
    <x v="1"/>
    <m/>
    <s v="T005"/>
    <x v="4"/>
    <n v="582.04999999999995"/>
    <x v="1"/>
    <x v="0"/>
  </r>
  <r>
    <s v="A074"/>
    <s v="P010"/>
    <s v="D005"/>
    <x v="66"/>
    <d v="1899-12-30T13:30:00"/>
    <s v="Therapy"/>
    <x v="1"/>
    <x v="2"/>
    <s v="Advanced protocol"/>
    <n v="3175.14"/>
    <d v="2023-07-23T00:00:00"/>
    <x v="5"/>
    <s v="Taylor"/>
    <s v="M"/>
    <d v="2001-10-13T00:00:00"/>
    <n v="7081396733"/>
    <s v="123 Elm St"/>
    <n v="44797"/>
    <x v="0"/>
    <s v="INS866577"/>
    <s v="Sarah"/>
    <s v="Taylor"/>
    <x v="2"/>
    <n v="9118538547"/>
    <n v="26"/>
    <x v="0"/>
    <m/>
    <s v="T040"/>
    <x v="26"/>
    <n v="695.36"/>
    <x v="2"/>
    <x v="2"/>
  </r>
  <r>
    <s v="A075"/>
    <s v="P043"/>
    <s v="D009"/>
    <x v="67"/>
    <d v="1899-12-30T14:00:00"/>
    <s v="Follow-up"/>
    <x v="2"/>
    <x v="0"/>
    <s v="Standard procedure"/>
    <n v="2735.45"/>
    <d v="2023-05-08T00:00:00"/>
    <x v="3"/>
    <s v="Brown"/>
    <s v="M"/>
    <d v="1980-03-25T00:00:00"/>
    <n v="9127665406"/>
    <s v="789 Pine Rd"/>
    <n v="44760"/>
    <x v="0"/>
    <s v="INS882355"/>
    <s v="Sarah"/>
    <s v="Smith"/>
    <x v="0"/>
    <n v="7387087517"/>
    <n v="26"/>
    <x v="0"/>
    <m/>
    <s v="T067"/>
    <x v="36"/>
    <n v="930.72"/>
    <x v="1"/>
    <x v="0"/>
  </r>
  <r>
    <s v="A076"/>
    <s v="P044"/>
    <s v="D002"/>
    <x v="68"/>
    <d v="1899-12-30T12:00:00"/>
    <s v="Therapy"/>
    <x v="2"/>
    <x v="0"/>
    <s v="Standard procedure"/>
    <n v="4945.03"/>
    <d v="2023-11-27T00:00:00"/>
    <x v="2"/>
    <s v="Taylor"/>
    <s v="F"/>
    <d v="1976-03-11T00:00:00"/>
    <n v="9449458981"/>
    <s v="321 Maple Dr"/>
    <n v="44952"/>
    <x v="2"/>
    <s v="INS364512"/>
    <s v="Jane"/>
    <s v="Davis"/>
    <x v="0"/>
    <n v="9004382050"/>
    <n v="24"/>
    <x v="1"/>
    <m/>
    <s v="T076"/>
    <x v="37"/>
    <n v="4945.03"/>
    <x v="1"/>
    <x v="0"/>
  </r>
  <r>
    <s v="A077"/>
    <s v="P029"/>
    <s v="D010"/>
    <x v="69"/>
    <d v="1899-12-30T17:15:00"/>
    <s v="Checkup"/>
    <x v="3"/>
    <x v="2"/>
    <s v="Basic screening"/>
    <n v="1113.98"/>
    <d v="2023-12-14T00:00:00"/>
    <x v="4"/>
    <s v="Smith"/>
    <s v="M"/>
    <d v="2005-05-15T00:00:00"/>
    <n v="8923607677"/>
    <s v="789 Pine Rd"/>
    <n v="45035"/>
    <x v="3"/>
    <s v="INS630089"/>
    <s v="Linda"/>
    <s v="Wilson"/>
    <x v="1"/>
    <n v="6176383634"/>
    <n v="21"/>
    <x v="1"/>
    <m/>
    <s v="T012"/>
    <x v="11"/>
    <n v="771.2"/>
    <x v="0"/>
    <x v="0"/>
  </r>
  <r>
    <s v="A078"/>
    <s v="P013"/>
    <s v="D008"/>
    <x v="70"/>
    <d v="1899-12-30T11:15:00"/>
    <s v="Consultation"/>
    <x v="1"/>
    <x v="4"/>
    <s v="Basic screening"/>
    <n v="3628.15"/>
    <d v="2023-09-17T00:00:00"/>
    <x v="8"/>
    <s v="Johnson"/>
    <s v="F"/>
    <d v="1990-03-28T00:00:00"/>
    <n v="9059178882"/>
    <s v="321 Maple Dr"/>
    <n v="44553"/>
    <x v="0"/>
    <s v="INS373237"/>
    <s v="Linda"/>
    <s v="Brown"/>
    <x v="2"/>
    <n v="9069162601"/>
    <n v="5"/>
    <x v="2"/>
    <m/>
    <s v="T078"/>
    <x v="38"/>
    <n v="3628.15"/>
    <x v="1"/>
    <x v="1"/>
  </r>
  <r>
    <s v="A079"/>
    <s v="P012"/>
    <s v="D002"/>
    <x v="71"/>
    <d v="1899-12-30T14:00:00"/>
    <s v="Follow-up"/>
    <x v="2"/>
    <x v="4"/>
    <s v="Basic screening"/>
    <n v="2319.4299999999998"/>
    <d v="2023-12-26T00:00:00"/>
    <x v="8"/>
    <s v="Davis"/>
    <s v="F"/>
    <d v="1991-12-08T00:00:00"/>
    <n v="8135666049"/>
    <s v="321 Maple Dr"/>
    <n v="45043"/>
    <x v="1"/>
    <s v="INS104014"/>
    <s v="Jane"/>
    <s v="Davis"/>
    <x v="0"/>
    <n v="9004382050"/>
    <n v="24"/>
    <x v="1"/>
    <m/>
    <s v="T014"/>
    <x v="13"/>
    <n v="2082.3000000000002"/>
    <x v="1"/>
    <x v="1"/>
  </r>
  <r>
    <s v="A080"/>
    <s v="P031"/>
    <s v="D005"/>
    <x v="72"/>
    <d v="1899-12-30T08:30:00"/>
    <s v="Consultation"/>
    <x v="0"/>
    <x v="0"/>
    <s v="Basic screening"/>
    <n v="2426.9"/>
    <d v="2023-06-26T00:00:00"/>
    <x v="2"/>
    <s v="Miller"/>
    <s v="M"/>
    <d v="1987-01-14T00:00:00"/>
    <n v="8280346676"/>
    <s v="321 Maple Dr"/>
    <n v="44740"/>
    <x v="0"/>
    <s v="INS542905"/>
    <s v="Sarah"/>
    <s v="Taylor"/>
    <x v="2"/>
    <n v="9118538547"/>
    <n v="26"/>
    <x v="0"/>
    <m/>
    <s v="T044"/>
    <x v="27"/>
    <n v="4186.3500000000004"/>
    <x v="0"/>
    <x v="1"/>
  </r>
  <r>
    <s v="A081"/>
    <s v="P046"/>
    <s v="D007"/>
    <x v="73"/>
    <d v="1899-12-30T13:30:00"/>
    <s v="Therapy"/>
    <x v="2"/>
    <x v="2"/>
    <s v="Advanced protocol"/>
    <n v="3729.19"/>
    <d v="2023-01-06T00:00:00"/>
    <x v="5"/>
    <s v="Taylor"/>
    <s v="F"/>
    <d v="1986-09-01T00:00:00"/>
    <n v="8019925828"/>
    <s v="456 Oak Ave"/>
    <n v="44408"/>
    <x v="1"/>
    <s v="INS368799"/>
    <s v="Robert"/>
    <s v="Davis"/>
    <x v="1"/>
    <n v="8217493115"/>
    <n v="26"/>
    <x v="2"/>
    <m/>
    <s v="T026"/>
    <x v="21"/>
    <n v="2360.9699999999998"/>
    <x v="0"/>
    <x v="1"/>
  </r>
  <r>
    <s v="A082"/>
    <s v="P002"/>
    <s v="D008"/>
    <x v="74"/>
    <d v="1899-12-30T10:45:00"/>
    <s v="Follow-up"/>
    <x v="0"/>
    <x v="4"/>
    <s v="Basic screening"/>
    <n v="3615.96"/>
    <d v="2023-01-20T00:00:00"/>
    <x v="1"/>
    <s v="Smith"/>
    <s v="F"/>
    <d v="1984-10-12T00:00:00"/>
    <n v="8228188767"/>
    <s v="321 Maple Dr"/>
    <n v="44576"/>
    <x v="2"/>
    <s v="INS354079"/>
    <s v="Linda"/>
    <s v="Brown"/>
    <x v="2"/>
    <n v="9069162601"/>
    <n v="5"/>
    <x v="2"/>
    <m/>
    <s v="T055"/>
    <x v="31"/>
    <n v="1736.63"/>
    <x v="2"/>
    <x v="2"/>
  </r>
  <r>
    <s v="A083"/>
    <s v="P050"/>
    <s v="D001"/>
    <x v="75"/>
    <d v="1899-12-30T12:30:00"/>
    <s v="Emergency"/>
    <x v="3"/>
    <x v="2"/>
    <s v="Advanced protocol"/>
    <n v="4960.6499999999996"/>
    <d v="2023-11-07T00:00:00"/>
    <x v="8"/>
    <s v="Wilson"/>
    <s v="M"/>
    <d v="1993-12-27T00:00:00"/>
    <n v="8301134730"/>
    <s v="321 Maple Dr"/>
    <n v="45044"/>
    <x v="0"/>
    <s v="INS712210"/>
    <s v="David"/>
    <s v="Taylor"/>
    <x v="2"/>
    <n v="8322010158"/>
    <n v="17"/>
    <x v="2"/>
    <m/>
    <s v="T063"/>
    <x v="34"/>
    <n v="1256.06"/>
    <x v="0"/>
    <x v="2"/>
  </r>
  <r>
    <s v="A084"/>
    <s v="P035"/>
    <s v="D006"/>
    <x v="58"/>
    <d v="1899-12-30T16:00:00"/>
    <s v="Consultation"/>
    <x v="0"/>
    <x v="2"/>
    <s v="Basic screening"/>
    <n v="1077.77"/>
    <d v="2023-05-31T00:00:00"/>
    <x v="4"/>
    <s v="Wilson"/>
    <s v="F"/>
    <d v="1993-04-13T00:00:00"/>
    <n v="7039619487"/>
    <s v="123 Elm St"/>
    <n v="45116"/>
    <x v="1"/>
    <s v="INS897079"/>
    <s v="Alex"/>
    <s v="Davis"/>
    <x v="0"/>
    <n v="6570137231"/>
    <n v="23"/>
    <x v="0"/>
    <m/>
    <s v="T064"/>
    <x v="35"/>
    <n v="3815.93"/>
    <x v="2"/>
    <x v="1"/>
  </r>
  <r>
    <s v="A085"/>
    <s v="P023"/>
    <s v="D001"/>
    <x v="76"/>
    <d v="1899-12-30T16:15:00"/>
    <s v="Follow-up"/>
    <x v="2"/>
    <x v="2"/>
    <s v="Advanced protocol"/>
    <n v="968.49"/>
    <d v="2023-02-18T00:00:00"/>
    <x v="3"/>
    <s v="Johnson"/>
    <s v="M"/>
    <d v="1994-02-22T00:00:00"/>
    <n v="6141951830"/>
    <s v="789 Pine Rd"/>
    <n v="44557"/>
    <x v="0"/>
    <s v="INS730152"/>
    <s v="David"/>
    <s v="Taylor"/>
    <x v="2"/>
    <n v="8322010158"/>
    <n v="17"/>
    <x v="2"/>
    <m/>
    <s v="T039"/>
    <x v="25"/>
    <n v="2976.02"/>
    <x v="0"/>
    <x v="2"/>
  </r>
  <r>
    <s v="A086"/>
    <s v="P017"/>
    <s v="D002"/>
    <x v="25"/>
    <d v="1899-12-30T11:00:00"/>
    <s v="Consultation"/>
    <x v="2"/>
    <x v="3"/>
    <s v="Standard procedure"/>
    <n v="3759.52"/>
    <d v="2023-10-29T00:00:00"/>
    <x v="6"/>
    <s v="Jones"/>
    <s v="M"/>
    <d v="1991-05-01T00:00:00"/>
    <n v="6158428240"/>
    <s v="456 Oak Ave"/>
    <n v="44830"/>
    <x v="0"/>
    <s v="INS182074"/>
    <s v="Jane"/>
    <s v="Davis"/>
    <x v="0"/>
    <n v="9004382050"/>
    <n v="24"/>
    <x v="1"/>
    <m/>
    <s v="T086"/>
    <x v="39"/>
    <n v="3759.52"/>
    <x v="2"/>
    <x v="0"/>
  </r>
  <r>
    <s v="A087"/>
    <s v="P026"/>
    <s v="D001"/>
    <x v="77"/>
    <d v="1899-12-30T12:15:00"/>
    <s v="Follow-up"/>
    <x v="2"/>
    <x v="2"/>
    <s v="Advanced protocol"/>
    <n v="3102.74"/>
    <d v="2023-10-19T00:00:00"/>
    <x v="7"/>
    <s v="Taylor"/>
    <s v="M"/>
    <d v="2003-11-28T00:00:00"/>
    <n v="9900972256"/>
    <s v="123 Elm St"/>
    <n v="44329"/>
    <x v="1"/>
    <s v="INS598863"/>
    <s v="David"/>
    <s v="Taylor"/>
    <x v="2"/>
    <n v="8322010158"/>
    <n v="17"/>
    <x v="2"/>
    <m/>
    <s v="T015"/>
    <x v="14"/>
    <n v="956.39"/>
    <x v="0"/>
    <x v="0"/>
  </r>
  <r>
    <s v="A088"/>
    <s v="P008"/>
    <s v="D005"/>
    <x v="44"/>
    <d v="1899-12-30T16:30:00"/>
    <s v="Checkup"/>
    <x v="3"/>
    <x v="3"/>
    <s v="Advanced protocol"/>
    <n v="1733.72"/>
    <d v="2023-05-02T00:00:00"/>
    <x v="4"/>
    <s v="Davis"/>
    <s v="F"/>
    <d v="1976-07-05T00:00:00"/>
    <n v="7090558393"/>
    <s v="456 Oak Ave"/>
    <n v="44341"/>
    <x v="0"/>
    <s v="INS545101"/>
    <s v="Sarah"/>
    <s v="Taylor"/>
    <x v="2"/>
    <n v="9118538547"/>
    <n v="26"/>
    <x v="0"/>
    <m/>
    <s v="T088"/>
    <x v="40"/>
    <n v="1733.72"/>
    <x v="2"/>
    <x v="1"/>
  </r>
  <r>
    <s v="A089"/>
    <s v="P029"/>
    <s v="D010"/>
    <x v="78"/>
    <d v="1899-12-30T11:00:00"/>
    <s v="Consultation"/>
    <x v="3"/>
    <x v="0"/>
    <s v="Basic screening"/>
    <n v="857.39"/>
    <d v="2023-02-14T00:00:00"/>
    <x v="4"/>
    <s v="Smith"/>
    <s v="M"/>
    <d v="2005-05-15T00:00:00"/>
    <n v="8923607677"/>
    <s v="789 Pine Rd"/>
    <n v="45035"/>
    <x v="3"/>
    <s v="INS630089"/>
    <s v="Linda"/>
    <s v="Wilson"/>
    <x v="1"/>
    <n v="6176383634"/>
    <n v="21"/>
    <x v="1"/>
    <m/>
    <s v="T012"/>
    <x v="11"/>
    <n v="771.2"/>
    <x v="0"/>
    <x v="0"/>
  </r>
  <r>
    <s v="A090"/>
    <s v="P026"/>
    <s v="D009"/>
    <x v="79"/>
    <d v="1899-12-30T17:30:00"/>
    <s v="Emergency"/>
    <x v="1"/>
    <x v="4"/>
    <s v="Advanced protocol"/>
    <n v="885.46"/>
    <d v="2023-06-01T00:00:00"/>
    <x v="7"/>
    <s v="Taylor"/>
    <s v="M"/>
    <d v="2003-11-28T00:00:00"/>
    <n v="9900972256"/>
    <s v="123 Elm St"/>
    <n v="44329"/>
    <x v="1"/>
    <s v="INS598863"/>
    <s v="Sarah"/>
    <s v="Smith"/>
    <x v="0"/>
    <n v="7387087517"/>
    <n v="26"/>
    <x v="0"/>
    <m/>
    <s v="T015"/>
    <x v="14"/>
    <n v="956.39"/>
    <x v="0"/>
    <x v="0"/>
  </r>
  <r>
    <s v="A091"/>
    <s v="P010"/>
    <s v="D006"/>
    <x v="80"/>
    <d v="1899-12-30T13:15:00"/>
    <s v="Emergency"/>
    <x v="2"/>
    <x v="4"/>
    <s v="Standard procedure"/>
    <n v="4523.8599999999997"/>
    <d v="2023-06-11T00:00:00"/>
    <x v="5"/>
    <s v="Taylor"/>
    <s v="M"/>
    <d v="2001-10-13T00:00:00"/>
    <n v="7081396733"/>
    <s v="123 Elm St"/>
    <n v="44797"/>
    <x v="0"/>
    <s v="INS866577"/>
    <s v="Alex"/>
    <s v="Davis"/>
    <x v="0"/>
    <n v="6570137231"/>
    <n v="23"/>
    <x v="0"/>
    <m/>
    <s v="T040"/>
    <x v="26"/>
    <n v="695.36"/>
    <x v="2"/>
    <x v="2"/>
  </r>
  <r>
    <s v="A092"/>
    <s v="P026"/>
    <s v="D001"/>
    <x v="81"/>
    <d v="1899-12-30T14:15:00"/>
    <s v="Therapy"/>
    <x v="0"/>
    <x v="4"/>
    <s v="Standard procedure"/>
    <n v="1363.4"/>
    <d v="2023-01-30T00:00:00"/>
    <x v="7"/>
    <s v="Taylor"/>
    <s v="M"/>
    <d v="2003-11-28T00:00:00"/>
    <n v="9900972256"/>
    <s v="123 Elm St"/>
    <n v="44329"/>
    <x v="1"/>
    <s v="INS598863"/>
    <s v="David"/>
    <s v="Taylor"/>
    <x v="2"/>
    <n v="8322010158"/>
    <n v="17"/>
    <x v="2"/>
    <m/>
    <s v="T015"/>
    <x v="14"/>
    <n v="956.39"/>
    <x v="0"/>
    <x v="0"/>
  </r>
  <r>
    <s v="A093"/>
    <s v="P034"/>
    <s v="D001"/>
    <x v="6"/>
    <d v="1899-12-30T09:30:00"/>
    <s v="Follow-up"/>
    <x v="3"/>
    <x v="4"/>
    <s v="Basic screening"/>
    <n v="1955.17"/>
    <d v="2023-04-09T00:00:00"/>
    <x v="0"/>
    <s v="Smith"/>
    <s v="F"/>
    <d v="1950-01-26T00:00:00"/>
    <n v="8374657733"/>
    <s v="321 Maple Dr"/>
    <n v="45095"/>
    <x v="0"/>
    <s v="INS653880"/>
    <s v="David"/>
    <s v="Taylor"/>
    <x v="2"/>
    <n v="8322010158"/>
    <n v="17"/>
    <x v="2"/>
    <m/>
    <s v="T001"/>
    <x v="0"/>
    <n v="3941.97"/>
    <x v="0"/>
    <x v="0"/>
  </r>
  <r>
    <s v="A094"/>
    <s v="P041"/>
    <s v="D002"/>
    <x v="82"/>
    <d v="1899-12-30T08:45:00"/>
    <s v="Consultation"/>
    <x v="2"/>
    <x v="4"/>
    <s v="Standard procedure"/>
    <n v="1519.95"/>
    <d v="2023-04-08T00:00:00"/>
    <x v="2"/>
    <s v="Williams"/>
    <s v="M"/>
    <d v="1951-06-19T00:00:00"/>
    <n v="7020645498"/>
    <s v="456 Oak Ave"/>
    <n v="44758"/>
    <x v="0"/>
    <s v="INS997059"/>
    <s v="Jane"/>
    <s v="Davis"/>
    <x v="0"/>
    <n v="9004382050"/>
    <n v="24"/>
    <x v="1"/>
    <m/>
    <s v="T094"/>
    <x v="41"/>
    <n v="1519.95"/>
    <x v="2"/>
    <x v="2"/>
  </r>
  <r>
    <s v="A095"/>
    <s v="P007"/>
    <s v="D009"/>
    <x v="21"/>
    <d v="1899-12-30T10:15:00"/>
    <s v="Therapy"/>
    <x v="2"/>
    <x v="4"/>
    <s v="Advanced protocol"/>
    <n v="2097.48"/>
    <d v="2023-05-09T00:00:00"/>
    <x v="0"/>
    <s v="Johnson"/>
    <s v="F"/>
    <d v="1989-06-08T00:00:00"/>
    <n v="6278710077"/>
    <s v="789 Pine Rd"/>
    <n v="44555"/>
    <x v="1"/>
    <s v="INS465890"/>
    <s v="Sarah"/>
    <s v="Smith"/>
    <x v="0"/>
    <n v="7387087517"/>
    <n v="26"/>
    <x v="0"/>
    <m/>
    <s v="T095"/>
    <x v="18"/>
    <n v="2097.48"/>
    <x v="2"/>
    <x v="2"/>
  </r>
  <r>
    <s v="A096"/>
    <s v="P004"/>
    <s v="D003"/>
    <x v="83"/>
    <d v="1899-12-30T15:00:00"/>
    <s v="Consultation"/>
    <x v="3"/>
    <x v="4"/>
    <s v="Standard procedure"/>
    <n v="812.41"/>
    <d v="2023-07-07T00:00:00"/>
    <x v="5"/>
    <s v="Johnson"/>
    <s v="F"/>
    <d v="1981-02-20T00:00:00"/>
    <n v="9019443432"/>
    <s v="123 Elm St"/>
    <n v="44257"/>
    <x v="3"/>
    <s v="INS789944"/>
    <s v="Jane"/>
    <s v="Smith"/>
    <x v="0"/>
    <n v="8737740598"/>
    <n v="19"/>
    <x v="1"/>
    <m/>
    <s v="T051"/>
    <x v="29"/>
    <n v="4550.1000000000004"/>
    <x v="1"/>
    <x v="2"/>
  </r>
  <r>
    <s v="A097"/>
    <s v="P050"/>
    <s v="D001"/>
    <x v="84"/>
    <d v="1899-12-30T14:45:00"/>
    <s v="Follow-up"/>
    <x v="1"/>
    <x v="0"/>
    <s v="Basic screening"/>
    <n v="2835.77"/>
    <d v="2023-05-06T00:00:00"/>
    <x v="8"/>
    <s v="Wilson"/>
    <s v="M"/>
    <d v="1993-12-27T00:00:00"/>
    <n v="8301134730"/>
    <s v="321 Maple Dr"/>
    <n v="45044"/>
    <x v="0"/>
    <s v="INS712210"/>
    <s v="David"/>
    <s v="Taylor"/>
    <x v="2"/>
    <n v="8322010158"/>
    <n v="17"/>
    <x v="2"/>
    <m/>
    <s v="T063"/>
    <x v="34"/>
    <n v="1256.06"/>
    <x v="0"/>
    <x v="2"/>
  </r>
  <r>
    <s v="A098"/>
    <s v="P045"/>
    <s v="D005"/>
    <x v="24"/>
    <d v="1899-12-30T13:00:00"/>
    <s v="Emergency"/>
    <x v="3"/>
    <x v="2"/>
    <s v="Advanced protocol"/>
    <n v="804.26"/>
    <d v="2023-03-17T00:00:00"/>
    <x v="3"/>
    <s v="Miller"/>
    <s v="F"/>
    <d v="1966-04-25T00:00:00"/>
    <n v="7579616535"/>
    <s v="321 Maple Dr"/>
    <n v="44219"/>
    <x v="1"/>
    <s v="INS701863"/>
    <s v="Sarah"/>
    <s v="Taylor"/>
    <x v="2"/>
    <n v="9118538547"/>
    <n v="26"/>
    <x v="0"/>
    <m/>
    <s v="T006"/>
    <x v="5"/>
    <n v="1381"/>
    <x v="0"/>
    <x v="0"/>
  </r>
  <r>
    <s v="A099"/>
    <s v="P011"/>
    <s v="D007"/>
    <x v="85"/>
    <d v="1899-12-30T15:00:00"/>
    <s v="Checkup"/>
    <x v="3"/>
    <x v="1"/>
    <s v="Basic screening"/>
    <n v="4101.6000000000004"/>
    <d v="2023-07-04T00:00:00"/>
    <x v="1"/>
    <s v="Jones"/>
    <s v="F"/>
    <d v="1966-12-04T00:00:00"/>
    <n v="8990604070"/>
    <s v="789 Pine Rd"/>
    <n v="44831"/>
    <x v="1"/>
    <s v="INS172991"/>
    <s v="Robert"/>
    <s v="Davis"/>
    <x v="1"/>
    <n v="8217493115"/>
    <n v="26"/>
    <x v="2"/>
    <m/>
    <s v="T099"/>
    <x v="42"/>
    <n v="4101.6000000000004"/>
    <x v="1"/>
    <x v="0"/>
  </r>
  <r>
    <s v="A100"/>
    <s v="P029"/>
    <s v="D006"/>
    <x v="86"/>
    <d v="1899-12-30T08:00:00"/>
    <s v="Emergency"/>
    <x v="0"/>
    <x v="3"/>
    <s v="Advanced protocol"/>
    <n v="1551.7"/>
    <d v="2023-03-02T00:00:00"/>
    <x v="4"/>
    <s v="Smith"/>
    <s v="M"/>
    <d v="2005-05-15T00:00:00"/>
    <n v="8923607677"/>
    <s v="789 Pine Rd"/>
    <n v="45035"/>
    <x v="3"/>
    <s v="INS630089"/>
    <s v="Alex"/>
    <s v="Davis"/>
    <x v="0"/>
    <n v="6570137231"/>
    <n v="23"/>
    <x v="0"/>
    <m/>
    <s v="T012"/>
    <x v="11"/>
    <n v="771.2"/>
    <x v="0"/>
    <x v="0"/>
  </r>
  <r>
    <s v="A101"/>
    <s v="P036"/>
    <s v="D001"/>
    <x v="87"/>
    <d v="1899-12-30T13:15:00"/>
    <s v="Therapy"/>
    <x v="0"/>
    <x v="1"/>
    <s v="Standard procedure"/>
    <n v="2930.05"/>
    <d v="2023-09-21T00:00:00"/>
    <x v="5"/>
    <s v="Wilson"/>
    <s v="M"/>
    <d v="1997-12-26T00:00:00"/>
    <n v="8545613046"/>
    <s v="123 Elm St"/>
    <n v="44838"/>
    <x v="1"/>
    <s v="INS764076"/>
    <s v="David"/>
    <s v="Taylor"/>
    <x v="2"/>
    <n v="8322010158"/>
    <n v="17"/>
    <x v="2"/>
    <m/>
    <s v="T035"/>
    <x v="23"/>
    <n v="1654.53"/>
    <x v="0"/>
    <x v="2"/>
  </r>
  <r>
    <s v="A102"/>
    <s v="P025"/>
    <s v="D005"/>
    <x v="88"/>
    <d v="1899-12-30T09:00:00"/>
    <s v="Checkup"/>
    <x v="1"/>
    <x v="1"/>
    <s v="Basic screening"/>
    <n v="4460.3599999999997"/>
    <d v="2023-10-25T00:00:00"/>
    <x v="2"/>
    <s v="Wilson"/>
    <s v="M"/>
    <d v="1966-08-14T00:00:00"/>
    <n v="7482069727"/>
    <s v="123 Elm St"/>
    <n v="44448"/>
    <x v="3"/>
    <s v="INS833429"/>
    <s v="Sarah"/>
    <s v="Taylor"/>
    <x v="2"/>
    <n v="9118538547"/>
    <n v="26"/>
    <x v="0"/>
    <m/>
    <s v="T004"/>
    <x v="3"/>
    <n v="4799.8599999999997"/>
    <x v="0"/>
    <x v="2"/>
  </r>
  <r>
    <s v="A103"/>
    <s v="P021"/>
    <s v="D005"/>
    <x v="89"/>
    <d v="1899-12-30T08:30:00"/>
    <s v="Therapy"/>
    <x v="2"/>
    <x v="2"/>
    <s v="Basic screening"/>
    <n v="3428.95"/>
    <d v="2023-01-24T00:00:00"/>
    <x v="5"/>
    <s v="Wilson"/>
    <s v="M"/>
    <d v="2002-03-01T00:00:00"/>
    <n v="7765390555"/>
    <s v="321 Maple Dr"/>
    <n v="44580"/>
    <x v="0"/>
    <s v="INS297392"/>
    <s v="Sarah"/>
    <s v="Taylor"/>
    <x v="2"/>
    <n v="9118538547"/>
    <n v="26"/>
    <x v="0"/>
    <m/>
    <s v="T033"/>
    <x v="22"/>
    <n v="980.95"/>
    <x v="1"/>
    <x v="1"/>
  </r>
  <r>
    <s v="A104"/>
    <s v="P036"/>
    <s v="D006"/>
    <x v="32"/>
    <d v="1899-12-30T08:45:00"/>
    <s v="Follow-up"/>
    <x v="3"/>
    <x v="2"/>
    <s v="Advanced protocol"/>
    <n v="2898.31"/>
    <d v="2023-04-18T00:00:00"/>
    <x v="5"/>
    <s v="Wilson"/>
    <s v="M"/>
    <d v="1997-12-26T00:00:00"/>
    <n v="8545613046"/>
    <s v="123 Elm St"/>
    <n v="44838"/>
    <x v="1"/>
    <s v="INS764076"/>
    <s v="Alex"/>
    <s v="Davis"/>
    <x v="0"/>
    <n v="6570137231"/>
    <n v="23"/>
    <x v="0"/>
    <m/>
    <s v="T035"/>
    <x v="23"/>
    <n v="1654.53"/>
    <x v="0"/>
    <x v="2"/>
  </r>
  <r>
    <s v="A105"/>
    <s v="P010"/>
    <s v="D003"/>
    <x v="90"/>
    <d v="1899-12-30T16:00:00"/>
    <s v="Checkup"/>
    <x v="1"/>
    <x v="2"/>
    <s v="Basic screening"/>
    <n v="1959.5"/>
    <d v="2023-08-14T00:00:00"/>
    <x v="5"/>
    <s v="Taylor"/>
    <s v="M"/>
    <d v="2001-10-13T00:00:00"/>
    <n v="7081396733"/>
    <s v="123 Elm St"/>
    <n v="44797"/>
    <x v="0"/>
    <s v="INS866577"/>
    <s v="Jane"/>
    <s v="Smith"/>
    <x v="0"/>
    <n v="8737740598"/>
    <n v="19"/>
    <x v="1"/>
    <m/>
    <s v="T040"/>
    <x v="26"/>
    <n v="695.36"/>
    <x v="2"/>
    <x v="2"/>
  </r>
  <r>
    <s v="A106"/>
    <s v="P037"/>
    <s v="D005"/>
    <x v="25"/>
    <d v="1899-12-30T11:15:00"/>
    <s v="Therapy"/>
    <x v="0"/>
    <x v="4"/>
    <s v="Advanced protocol"/>
    <n v="1998.51"/>
    <d v="2023-10-29T00:00:00"/>
    <x v="2"/>
    <s v="Williams"/>
    <s v="M"/>
    <d v="1999-02-05T00:00:00"/>
    <n v="8886800195"/>
    <s v="456 Oak Ave"/>
    <n v="44469"/>
    <x v="3"/>
    <s v="INS319963"/>
    <s v="Sarah"/>
    <s v="Taylor"/>
    <x v="2"/>
    <n v="9118538547"/>
    <n v="26"/>
    <x v="0"/>
    <m/>
    <s v="T017"/>
    <x v="15"/>
    <n v="1655.49"/>
    <x v="1"/>
    <x v="0"/>
  </r>
  <r>
    <s v="A107"/>
    <s v="P009"/>
    <s v="D007"/>
    <x v="36"/>
    <d v="1899-12-30T13:45:00"/>
    <s v="Follow-up"/>
    <x v="3"/>
    <x v="0"/>
    <s v="Advanced protocol"/>
    <n v="3512.69"/>
    <d v="2023-04-17T00:00:00"/>
    <x v="8"/>
    <s v="Davis"/>
    <s v="M"/>
    <d v="1971-12-11T00:00:00"/>
    <n v="7060324619"/>
    <s v="321 Maple Dr"/>
    <n v="44822"/>
    <x v="2"/>
    <s v="INS136631"/>
    <s v="Robert"/>
    <s v="Davis"/>
    <x v="1"/>
    <n v="8217493115"/>
    <n v="26"/>
    <x v="2"/>
    <m/>
    <s v="T107"/>
    <x v="25"/>
    <n v="3512.69"/>
    <x v="1"/>
    <x v="0"/>
  </r>
  <r>
    <s v="A108"/>
    <s v="P024"/>
    <s v="D005"/>
    <x v="91"/>
    <d v="1899-12-30T15:00:00"/>
    <s v="Emergency"/>
    <x v="2"/>
    <x v="4"/>
    <s v="Advanced protocol"/>
    <n v="4973.63"/>
    <d v="2023-04-21T00:00:00"/>
    <x v="9"/>
    <s v="Brown"/>
    <s v="F"/>
    <d v="1991-11-04T00:00:00"/>
    <n v="7196777444"/>
    <s v="321 Maple Dr"/>
    <n v="44441"/>
    <x v="0"/>
    <s v="INS493002"/>
    <s v="Sarah"/>
    <s v="Taylor"/>
    <x v="2"/>
    <n v="9118538547"/>
    <n v="26"/>
    <x v="0"/>
    <m/>
    <s v="T053"/>
    <x v="30"/>
    <n v="1565.92"/>
    <x v="0"/>
    <x v="0"/>
  </r>
  <r>
    <s v="A109"/>
    <s v="P035"/>
    <s v="D005"/>
    <x v="92"/>
    <d v="1899-12-30T14:00:00"/>
    <s v="Follow-up"/>
    <x v="0"/>
    <x v="0"/>
    <s v="Advanced protocol"/>
    <n v="3478.28"/>
    <d v="2023-07-29T00:00:00"/>
    <x v="4"/>
    <s v="Wilson"/>
    <s v="F"/>
    <d v="1993-04-13T00:00:00"/>
    <n v="7039619487"/>
    <s v="123 Elm St"/>
    <n v="45116"/>
    <x v="1"/>
    <s v="INS897079"/>
    <s v="Sarah"/>
    <s v="Taylor"/>
    <x v="2"/>
    <n v="9118538547"/>
    <n v="26"/>
    <x v="0"/>
    <m/>
    <s v="T064"/>
    <x v="35"/>
    <n v="3815.93"/>
    <x v="2"/>
    <x v="1"/>
  </r>
  <r>
    <s v="A110"/>
    <s v="P049"/>
    <s v="D005"/>
    <x v="93"/>
    <d v="1899-12-30T14:30:00"/>
    <s v="Consultation"/>
    <x v="0"/>
    <x v="0"/>
    <s v="Standard procedure"/>
    <n v="3010.03"/>
    <d v="2023-07-19T00:00:00"/>
    <x v="4"/>
    <s v="Moore"/>
    <s v="M"/>
    <d v="1972-11-26T00:00:00"/>
    <n v="7712937941"/>
    <s v="321 Maple Dr"/>
    <n v="45091"/>
    <x v="1"/>
    <s v="INS584299"/>
    <s v="Sarah"/>
    <s v="Taylor"/>
    <x v="2"/>
    <n v="9118538547"/>
    <n v="26"/>
    <x v="0"/>
    <m/>
    <s v="T024"/>
    <x v="19"/>
    <n v="3722.68"/>
    <x v="2"/>
    <x v="0"/>
  </r>
  <r>
    <s v="A111"/>
    <s v="P035"/>
    <s v="D010"/>
    <x v="94"/>
    <d v="1899-12-30T15:30:00"/>
    <s v="Follow-up"/>
    <x v="0"/>
    <x v="1"/>
    <s v="Advanced protocol"/>
    <n v="3787.93"/>
    <d v="2023-05-22T00:00:00"/>
    <x v="4"/>
    <s v="Wilson"/>
    <s v="F"/>
    <d v="1993-04-13T00:00:00"/>
    <n v="7039619487"/>
    <s v="123 Elm St"/>
    <n v="45116"/>
    <x v="1"/>
    <s v="INS897079"/>
    <s v="Linda"/>
    <s v="Wilson"/>
    <x v="1"/>
    <n v="6176383634"/>
    <n v="21"/>
    <x v="1"/>
    <m/>
    <s v="T064"/>
    <x v="35"/>
    <n v="3815.93"/>
    <x v="2"/>
    <x v="1"/>
  </r>
  <r>
    <s v="A112"/>
    <s v="P048"/>
    <s v="D010"/>
    <x v="95"/>
    <d v="1899-12-30T08:00:00"/>
    <s v="Follow-up"/>
    <x v="1"/>
    <x v="1"/>
    <s v="Basic screening"/>
    <n v="2593.4299999999998"/>
    <d v="2023-01-11T00:00:00"/>
    <x v="1"/>
    <s v="Miller"/>
    <s v="M"/>
    <d v="1983-03-24T00:00:00"/>
    <n v="8720989381"/>
    <s v="123 Elm St"/>
    <n v="45096"/>
    <x v="2"/>
    <s v="INS694319"/>
    <s v="Linda"/>
    <s v="Wilson"/>
    <x v="1"/>
    <n v="6176383634"/>
    <n v="21"/>
    <x v="1"/>
    <m/>
    <s v="T003"/>
    <x v="2"/>
    <n v="3731.55"/>
    <x v="0"/>
    <x v="1"/>
  </r>
  <r>
    <s v="A113"/>
    <s v="P036"/>
    <s v="D003"/>
    <x v="96"/>
    <d v="1899-12-30T15:30:00"/>
    <s v="Consultation"/>
    <x v="2"/>
    <x v="0"/>
    <s v="Standard procedure"/>
    <n v="770.64"/>
    <d v="2023-11-24T00:00:00"/>
    <x v="5"/>
    <s v="Wilson"/>
    <s v="M"/>
    <d v="1997-12-26T00:00:00"/>
    <n v="8545613046"/>
    <s v="123 Elm St"/>
    <n v="44838"/>
    <x v="1"/>
    <s v="INS764076"/>
    <s v="Jane"/>
    <s v="Smith"/>
    <x v="0"/>
    <n v="8737740598"/>
    <n v="19"/>
    <x v="1"/>
    <m/>
    <s v="T035"/>
    <x v="23"/>
    <n v="1654.53"/>
    <x v="0"/>
    <x v="2"/>
  </r>
  <r>
    <s v="A114"/>
    <s v="P018"/>
    <s v="D001"/>
    <x v="97"/>
    <d v="1899-12-30T09:00:00"/>
    <s v="Therapy"/>
    <x v="3"/>
    <x v="0"/>
    <s v="Basic screening"/>
    <n v="3030.34"/>
    <d v="2023-08-08T00:00:00"/>
    <x v="8"/>
    <s v="Wilson"/>
    <s v="M"/>
    <d v="1979-09-24T00:00:00"/>
    <n v="7145815738"/>
    <s v="789 Pine Rd"/>
    <n v="44827"/>
    <x v="2"/>
    <s v="INS635017"/>
    <s v="David"/>
    <s v="Taylor"/>
    <x v="2"/>
    <n v="8322010158"/>
    <n v="17"/>
    <x v="2"/>
    <m/>
    <s v="T114"/>
    <x v="43"/>
    <n v="3030.34"/>
    <x v="2"/>
    <x v="0"/>
  </r>
  <r>
    <s v="A115"/>
    <s v="P049"/>
    <s v="D005"/>
    <x v="88"/>
    <d v="1899-12-30T10:30:00"/>
    <s v="Therapy"/>
    <x v="1"/>
    <x v="4"/>
    <s v="Standard procedure"/>
    <n v="4809.3100000000004"/>
    <d v="2023-10-25T00:00:00"/>
    <x v="4"/>
    <s v="Moore"/>
    <s v="M"/>
    <d v="1972-11-26T00:00:00"/>
    <n v="7712937941"/>
    <s v="321 Maple Dr"/>
    <n v="45091"/>
    <x v="1"/>
    <s v="INS584299"/>
    <s v="Sarah"/>
    <s v="Taylor"/>
    <x v="2"/>
    <n v="9118538547"/>
    <n v="26"/>
    <x v="0"/>
    <m/>
    <s v="T024"/>
    <x v="19"/>
    <n v="3722.68"/>
    <x v="2"/>
    <x v="0"/>
  </r>
  <r>
    <s v="A116"/>
    <s v="P039"/>
    <s v="D009"/>
    <x v="83"/>
    <d v="1899-12-30T09:15:00"/>
    <s v="Follow-up"/>
    <x v="1"/>
    <x v="4"/>
    <s v="Advanced protocol"/>
    <n v="1288.8599999999999"/>
    <d v="2023-07-07T00:00:00"/>
    <x v="6"/>
    <s v="Wilson"/>
    <s v="F"/>
    <d v="1950-12-12T00:00:00"/>
    <n v="9271131338"/>
    <s v="789 Pine Rd"/>
    <n v="44264"/>
    <x v="2"/>
    <s v="INS348710"/>
    <s v="Sarah"/>
    <s v="Smith"/>
    <x v="0"/>
    <n v="7387087517"/>
    <n v="26"/>
    <x v="0"/>
    <m/>
    <s v="T009"/>
    <x v="8"/>
    <n v="4541.1400000000003"/>
    <x v="1"/>
    <x v="1"/>
  </r>
  <r>
    <s v="A117"/>
    <s v="P032"/>
    <s v="D001"/>
    <x v="98"/>
    <d v="1899-12-30T13:45:00"/>
    <s v="Consultation"/>
    <x v="1"/>
    <x v="1"/>
    <s v="Standard procedure"/>
    <n v="3605.02"/>
    <d v="2023-06-20T00:00:00"/>
    <x v="0"/>
    <s v="Moore"/>
    <s v="M"/>
    <d v="1981-01-08T00:00:00"/>
    <n v="8102183595"/>
    <s v="123 Elm St"/>
    <n v="44471"/>
    <x v="1"/>
    <s v="INS335362"/>
    <s v="David"/>
    <s v="Taylor"/>
    <x v="2"/>
    <n v="8322010158"/>
    <n v="17"/>
    <x v="2"/>
    <m/>
    <s v="T002"/>
    <x v="1"/>
    <n v="4158.4399999999996"/>
    <x v="0"/>
    <x v="1"/>
  </r>
  <r>
    <s v="A118"/>
    <s v="P024"/>
    <s v="D003"/>
    <x v="0"/>
    <d v="1899-12-30T08:15:00"/>
    <s v="Consultation"/>
    <x v="0"/>
    <x v="2"/>
    <s v="Standard procedure"/>
    <n v="1404.2"/>
    <d v="2023-08-09T00:00:00"/>
    <x v="9"/>
    <s v="Brown"/>
    <s v="F"/>
    <d v="1991-11-04T00:00:00"/>
    <n v="7196777444"/>
    <s v="321 Maple Dr"/>
    <n v="44441"/>
    <x v="0"/>
    <s v="INS493002"/>
    <s v="Jane"/>
    <s v="Smith"/>
    <x v="0"/>
    <n v="8737740598"/>
    <n v="19"/>
    <x v="1"/>
    <m/>
    <s v="T053"/>
    <x v="30"/>
    <n v="1565.92"/>
    <x v="0"/>
    <x v="0"/>
  </r>
  <r>
    <s v="A119"/>
    <s v="P023"/>
    <s v="D004"/>
    <x v="99"/>
    <d v="1899-12-30T13:30:00"/>
    <s v="Emergency"/>
    <x v="2"/>
    <x v="0"/>
    <s v="Basic screening"/>
    <n v="2911.22"/>
    <d v="2023-12-18T00:00:00"/>
    <x v="3"/>
    <s v="Johnson"/>
    <s v="M"/>
    <d v="1994-02-22T00:00:00"/>
    <n v="6141951830"/>
    <s v="789 Pine Rd"/>
    <n v="44557"/>
    <x v="0"/>
    <s v="INS730152"/>
    <s v="David"/>
    <s v="Jones"/>
    <x v="0"/>
    <n v="6594221991"/>
    <n v="28"/>
    <x v="0"/>
    <m/>
    <s v="T039"/>
    <x v="25"/>
    <n v="2976.02"/>
    <x v="0"/>
    <x v="2"/>
  </r>
  <r>
    <s v="A120"/>
    <s v="P032"/>
    <s v="D001"/>
    <x v="100"/>
    <d v="1899-12-30T11:00:00"/>
    <s v="Therapy"/>
    <x v="1"/>
    <x v="4"/>
    <s v="Basic screening"/>
    <n v="935.04"/>
    <d v="2023-12-08T00:00:00"/>
    <x v="0"/>
    <s v="Moore"/>
    <s v="M"/>
    <d v="1981-01-08T00:00:00"/>
    <n v="8102183595"/>
    <s v="123 Elm St"/>
    <n v="44471"/>
    <x v="1"/>
    <s v="INS335362"/>
    <s v="David"/>
    <s v="Taylor"/>
    <x v="2"/>
    <n v="8322010158"/>
    <n v="17"/>
    <x v="2"/>
    <m/>
    <s v="T002"/>
    <x v="1"/>
    <n v="4158.4399999999996"/>
    <x v="0"/>
    <x v="1"/>
  </r>
  <r>
    <s v="A121"/>
    <s v="P037"/>
    <s v="D001"/>
    <x v="101"/>
    <d v="1899-12-30T15:00:00"/>
    <s v="Checkup"/>
    <x v="3"/>
    <x v="1"/>
    <s v="Advanced protocol"/>
    <n v="2526.67"/>
    <d v="2023-04-07T00:00:00"/>
    <x v="2"/>
    <s v="Williams"/>
    <s v="M"/>
    <d v="1999-02-05T00:00:00"/>
    <n v="8886800195"/>
    <s v="456 Oak Ave"/>
    <n v="44469"/>
    <x v="3"/>
    <s v="INS319963"/>
    <s v="David"/>
    <s v="Taylor"/>
    <x v="2"/>
    <n v="8322010158"/>
    <n v="17"/>
    <x v="2"/>
    <m/>
    <s v="T017"/>
    <x v="15"/>
    <n v="1655.49"/>
    <x v="1"/>
    <x v="0"/>
  </r>
  <r>
    <s v="A122"/>
    <s v="P012"/>
    <s v="D008"/>
    <x v="16"/>
    <d v="1899-12-30T14:30:00"/>
    <s v="Therapy"/>
    <x v="2"/>
    <x v="4"/>
    <s v="Standard procedure"/>
    <n v="3902.73"/>
    <d v="2023-07-11T00:00:00"/>
    <x v="8"/>
    <s v="Davis"/>
    <s v="F"/>
    <d v="1991-12-08T00:00:00"/>
    <n v="8135666049"/>
    <s v="321 Maple Dr"/>
    <n v="45043"/>
    <x v="1"/>
    <s v="INS104014"/>
    <s v="Linda"/>
    <s v="Brown"/>
    <x v="2"/>
    <n v="9069162601"/>
    <n v="5"/>
    <x v="2"/>
    <m/>
    <s v="T014"/>
    <x v="13"/>
    <n v="2082.3000000000002"/>
    <x v="1"/>
    <x v="1"/>
  </r>
  <r>
    <s v="A123"/>
    <s v="P049"/>
    <s v="D002"/>
    <x v="102"/>
    <d v="1899-12-30T10:45:00"/>
    <s v="Therapy"/>
    <x v="3"/>
    <x v="0"/>
    <s v="Standard procedure"/>
    <n v="2064.0700000000002"/>
    <d v="2023-02-28T00:00:00"/>
    <x v="4"/>
    <s v="Moore"/>
    <s v="M"/>
    <d v="1972-11-26T00:00:00"/>
    <n v="7712937941"/>
    <s v="321 Maple Dr"/>
    <n v="45091"/>
    <x v="1"/>
    <s v="INS584299"/>
    <s v="Jane"/>
    <s v="Davis"/>
    <x v="0"/>
    <n v="9004382050"/>
    <n v="24"/>
    <x v="1"/>
    <m/>
    <s v="T024"/>
    <x v="19"/>
    <n v="3722.68"/>
    <x v="2"/>
    <x v="0"/>
  </r>
  <r>
    <s v="A124"/>
    <s v="P013"/>
    <s v="D008"/>
    <x v="103"/>
    <d v="1899-12-30T17:15:00"/>
    <s v="Emergency"/>
    <x v="2"/>
    <x v="0"/>
    <s v="Standard procedure"/>
    <n v="3492.1"/>
    <d v="2023-03-16T00:00:00"/>
    <x v="8"/>
    <s v="Johnson"/>
    <s v="F"/>
    <d v="1990-03-28T00:00:00"/>
    <n v="9059178882"/>
    <s v="321 Maple Dr"/>
    <n v="44553"/>
    <x v="0"/>
    <s v="INS373237"/>
    <s v="Linda"/>
    <s v="Brown"/>
    <x v="2"/>
    <n v="9069162601"/>
    <n v="5"/>
    <x v="2"/>
    <m/>
    <s v="T078"/>
    <x v="38"/>
    <n v="3628.15"/>
    <x v="1"/>
    <x v="1"/>
  </r>
  <r>
    <s v="A125"/>
    <s v="P023"/>
    <s v="D007"/>
    <x v="76"/>
    <d v="1899-12-30T10:15:00"/>
    <s v="Checkup"/>
    <x v="3"/>
    <x v="3"/>
    <s v="Advanced protocol"/>
    <n v="4079.52"/>
    <d v="2023-02-18T00:00:00"/>
    <x v="3"/>
    <s v="Johnson"/>
    <s v="M"/>
    <d v="1994-02-22T00:00:00"/>
    <n v="6141951830"/>
    <s v="789 Pine Rd"/>
    <n v="44557"/>
    <x v="0"/>
    <s v="INS730152"/>
    <s v="Robert"/>
    <s v="Davis"/>
    <x v="1"/>
    <n v="8217493115"/>
    <n v="26"/>
    <x v="2"/>
    <m/>
    <s v="T039"/>
    <x v="25"/>
    <n v="2976.02"/>
    <x v="0"/>
    <x v="2"/>
  </r>
  <r>
    <s v="A126"/>
    <s v="P025"/>
    <s v="D010"/>
    <x v="104"/>
    <d v="1899-12-30T09:45:00"/>
    <s v="Emergency"/>
    <x v="0"/>
    <x v="2"/>
    <s v="Advanced protocol"/>
    <n v="4672.3"/>
    <d v="2023-11-02T00:00:00"/>
    <x v="2"/>
    <s v="Wilson"/>
    <s v="M"/>
    <d v="1966-08-14T00:00:00"/>
    <n v="7482069727"/>
    <s v="123 Elm St"/>
    <n v="44448"/>
    <x v="3"/>
    <s v="INS833429"/>
    <s v="Linda"/>
    <s v="Wilson"/>
    <x v="1"/>
    <n v="6176383634"/>
    <n v="21"/>
    <x v="1"/>
    <m/>
    <s v="T004"/>
    <x v="3"/>
    <n v="4799.8599999999997"/>
    <x v="0"/>
    <x v="2"/>
  </r>
  <r>
    <s v="A127"/>
    <s v="P035"/>
    <s v="D010"/>
    <x v="105"/>
    <d v="1899-12-30T08:30:00"/>
    <s v="Checkup"/>
    <x v="1"/>
    <x v="3"/>
    <s v="Advanced protocol"/>
    <n v="1555.89"/>
    <d v="2023-11-13T00:00:00"/>
    <x v="4"/>
    <s v="Wilson"/>
    <s v="F"/>
    <d v="1993-04-13T00:00:00"/>
    <n v="7039619487"/>
    <s v="123 Elm St"/>
    <n v="45116"/>
    <x v="1"/>
    <s v="INS897079"/>
    <s v="Linda"/>
    <s v="Wilson"/>
    <x v="1"/>
    <n v="6176383634"/>
    <n v="21"/>
    <x v="1"/>
    <m/>
    <s v="T064"/>
    <x v="35"/>
    <n v="3815.93"/>
    <x v="2"/>
    <x v="1"/>
  </r>
  <r>
    <s v="A128"/>
    <s v="P041"/>
    <s v="D002"/>
    <x v="53"/>
    <d v="1899-12-30T14:45:00"/>
    <s v="Follow-up"/>
    <x v="3"/>
    <x v="1"/>
    <s v="Advanced protocol"/>
    <n v="2296.92"/>
    <d v="2023-04-15T00:00:00"/>
    <x v="2"/>
    <s v="Williams"/>
    <s v="M"/>
    <d v="1951-06-19T00:00:00"/>
    <n v="7020645498"/>
    <s v="456 Oak Ave"/>
    <n v="44758"/>
    <x v="0"/>
    <s v="INS997059"/>
    <s v="Jane"/>
    <s v="Davis"/>
    <x v="0"/>
    <n v="9004382050"/>
    <n v="24"/>
    <x v="1"/>
    <m/>
    <s v="T094"/>
    <x v="41"/>
    <n v="1519.95"/>
    <x v="2"/>
    <x v="2"/>
  </r>
  <r>
    <s v="A129"/>
    <s v="P030"/>
    <s v="D006"/>
    <x v="106"/>
    <d v="1899-12-30T09:30:00"/>
    <s v="Checkup"/>
    <x v="2"/>
    <x v="4"/>
    <s v="Advanced protocol"/>
    <n v="1185.8699999999999"/>
    <d v="2023-08-25T00:00:00"/>
    <x v="1"/>
    <s v="Moore"/>
    <s v="M"/>
    <d v="1964-12-23T00:00:00"/>
    <n v="6622318721"/>
    <s v="456 Oak Ave"/>
    <n v="44415"/>
    <x v="2"/>
    <s v="INS250262"/>
    <s v="Alex"/>
    <s v="Davis"/>
    <x v="0"/>
    <n v="6570137231"/>
    <n v="23"/>
    <x v="0"/>
    <m/>
    <s v="T025"/>
    <x v="20"/>
    <n v="1726.81"/>
    <x v="2"/>
    <x v="2"/>
  </r>
  <r>
    <s v="A130"/>
    <s v="P017"/>
    <s v="D006"/>
    <x v="35"/>
    <d v="1899-12-30T15:00:00"/>
    <s v="Emergency"/>
    <x v="1"/>
    <x v="1"/>
    <s v="Basic screening"/>
    <n v="4966.18"/>
    <d v="2023-02-23T00:00:00"/>
    <x v="6"/>
    <s v="Jones"/>
    <s v="M"/>
    <d v="1991-05-01T00:00:00"/>
    <n v="6158428240"/>
    <s v="456 Oak Ave"/>
    <n v="44830"/>
    <x v="0"/>
    <s v="INS182074"/>
    <s v="Alex"/>
    <s v="Davis"/>
    <x v="0"/>
    <n v="6570137231"/>
    <n v="23"/>
    <x v="0"/>
    <m/>
    <s v="T086"/>
    <x v="39"/>
    <n v="3759.52"/>
    <x v="2"/>
    <x v="0"/>
  </r>
  <r>
    <s v="A131"/>
    <s v="P049"/>
    <s v="D003"/>
    <x v="107"/>
    <d v="1899-12-30T16:30:00"/>
    <s v="Therapy"/>
    <x v="1"/>
    <x v="0"/>
    <s v="Standard procedure"/>
    <n v="4671.5"/>
    <d v="2023-05-11T00:00:00"/>
    <x v="4"/>
    <s v="Moore"/>
    <s v="M"/>
    <d v="1972-11-26T00:00:00"/>
    <n v="7712937941"/>
    <s v="321 Maple Dr"/>
    <n v="45091"/>
    <x v="1"/>
    <s v="INS584299"/>
    <s v="Jane"/>
    <s v="Smith"/>
    <x v="0"/>
    <n v="8737740598"/>
    <n v="19"/>
    <x v="1"/>
    <m/>
    <s v="T024"/>
    <x v="19"/>
    <n v="3722.68"/>
    <x v="2"/>
    <x v="0"/>
  </r>
  <r>
    <s v="A132"/>
    <s v="P020"/>
    <s v="D002"/>
    <x v="108"/>
    <d v="1899-12-30T10:45:00"/>
    <s v="Checkup"/>
    <x v="2"/>
    <x v="3"/>
    <s v="Standard procedure"/>
    <n v="2929.81"/>
    <d v="2023-07-26T00:00:00"/>
    <x v="6"/>
    <s v="Moore"/>
    <s v="F"/>
    <d v="2003-06-06T00:00:00"/>
    <n v="8158989953"/>
    <s v="789 Pine Rd"/>
    <n v="44654"/>
    <x v="1"/>
    <s v="INS276089"/>
    <s v="Jane"/>
    <s v="Davis"/>
    <x v="0"/>
    <n v="9004382050"/>
    <n v="24"/>
    <x v="1"/>
    <m/>
    <s v="T060"/>
    <x v="33"/>
    <n v="3307.37"/>
    <x v="0"/>
    <x v="0"/>
  </r>
  <r>
    <s v="A133"/>
    <s v="P048"/>
    <s v="D001"/>
    <x v="109"/>
    <d v="1899-12-30T14:30:00"/>
    <s v="Checkup"/>
    <x v="3"/>
    <x v="3"/>
    <s v="Standard procedure"/>
    <n v="4289.1499999999996"/>
    <d v="2023-03-23T00:00:00"/>
    <x v="1"/>
    <s v="Miller"/>
    <s v="M"/>
    <d v="1983-03-24T00:00:00"/>
    <n v="8720989381"/>
    <s v="123 Elm St"/>
    <n v="45096"/>
    <x v="2"/>
    <s v="INS694319"/>
    <s v="David"/>
    <s v="Taylor"/>
    <x v="2"/>
    <n v="8322010158"/>
    <n v="17"/>
    <x v="2"/>
    <m/>
    <s v="T003"/>
    <x v="2"/>
    <n v="3731.55"/>
    <x v="0"/>
    <x v="1"/>
  </r>
  <r>
    <s v="A134"/>
    <s v="P025"/>
    <s v="D006"/>
    <x v="110"/>
    <d v="1899-12-30T15:15:00"/>
    <s v="Consultation"/>
    <x v="0"/>
    <x v="3"/>
    <s v="Standard procedure"/>
    <n v="2844.31"/>
    <d v="2023-10-17T00:00:00"/>
    <x v="2"/>
    <s v="Wilson"/>
    <s v="M"/>
    <d v="1966-08-14T00:00:00"/>
    <n v="7482069727"/>
    <s v="123 Elm St"/>
    <n v="44448"/>
    <x v="3"/>
    <s v="INS833429"/>
    <s v="Alex"/>
    <s v="Davis"/>
    <x v="0"/>
    <n v="6570137231"/>
    <n v="23"/>
    <x v="0"/>
    <m/>
    <s v="T004"/>
    <x v="3"/>
    <n v="4799.8599999999997"/>
    <x v="0"/>
    <x v="2"/>
  </r>
  <r>
    <s v="A135"/>
    <s v="P022"/>
    <s v="D005"/>
    <x v="111"/>
    <d v="1899-12-30T16:30:00"/>
    <s v="Therapy"/>
    <x v="0"/>
    <x v="1"/>
    <s v="Standard procedure"/>
    <n v="3306.14"/>
    <d v="2023-09-09T00:00:00"/>
    <x v="7"/>
    <s v="Brown"/>
    <s v="M"/>
    <d v="1955-05-10T00:00:00"/>
    <n v="6221099573"/>
    <s v="321 Maple Dr"/>
    <n v="44327"/>
    <x v="1"/>
    <s v="INS258823"/>
    <s v="Sarah"/>
    <s v="Taylor"/>
    <x v="2"/>
    <n v="9118538547"/>
    <n v="26"/>
    <x v="0"/>
    <m/>
    <s v="T011"/>
    <x v="10"/>
    <n v="4671.66"/>
    <x v="2"/>
    <x v="2"/>
  </r>
  <r>
    <s v="A136"/>
    <s v="P013"/>
    <s v="D009"/>
    <x v="112"/>
    <d v="1899-12-30T12:30:00"/>
    <s v="Follow-up"/>
    <x v="3"/>
    <x v="0"/>
    <s v="Standard procedure"/>
    <n v="901.06"/>
    <d v="2023-05-13T00:00:00"/>
    <x v="8"/>
    <s v="Johnson"/>
    <s v="F"/>
    <d v="1990-03-28T00:00:00"/>
    <n v="9059178882"/>
    <s v="321 Maple Dr"/>
    <n v="44553"/>
    <x v="0"/>
    <s v="INS373237"/>
    <s v="Sarah"/>
    <s v="Smith"/>
    <x v="0"/>
    <n v="7387087517"/>
    <n v="26"/>
    <x v="0"/>
    <m/>
    <s v="T078"/>
    <x v="38"/>
    <n v="3628.15"/>
    <x v="1"/>
    <x v="1"/>
  </r>
  <r>
    <s v="A137"/>
    <s v="P019"/>
    <s v="D001"/>
    <x v="88"/>
    <d v="1899-12-30T10:00:00"/>
    <s v="Emergency"/>
    <x v="1"/>
    <x v="4"/>
    <s v="Standard procedure"/>
    <n v="3898.72"/>
    <d v="2023-10-25T00:00:00"/>
    <x v="9"/>
    <s v="Miller"/>
    <s v="M"/>
    <d v="1975-05-24T00:00:00"/>
    <n v="8618058864"/>
    <s v="789 Pine Rd"/>
    <n v="45101"/>
    <x v="0"/>
    <s v="INS855073"/>
    <s v="David"/>
    <s v="Taylor"/>
    <x v="2"/>
    <n v="8322010158"/>
    <n v="17"/>
    <x v="2"/>
    <m/>
    <s v="T046"/>
    <x v="28"/>
    <n v="1526.36"/>
    <x v="2"/>
    <x v="1"/>
  </r>
  <r>
    <s v="A138"/>
    <s v="P049"/>
    <s v="D007"/>
    <x v="71"/>
    <d v="1899-12-30T15:15:00"/>
    <s v="Follow-up"/>
    <x v="1"/>
    <x v="4"/>
    <s v="Standard procedure"/>
    <n v="1074.71"/>
    <d v="2023-12-26T00:00:00"/>
    <x v="4"/>
    <s v="Moore"/>
    <s v="M"/>
    <d v="1972-11-26T00:00:00"/>
    <n v="7712937941"/>
    <s v="321 Maple Dr"/>
    <n v="45091"/>
    <x v="1"/>
    <s v="INS584299"/>
    <s v="Robert"/>
    <s v="Davis"/>
    <x v="1"/>
    <n v="8217493115"/>
    <n v="26"/>
    <x v="2"/>
    <m/>
    <s v="T024"/>
    <x v="19"/>
    <n v="3722.68"/>
    <x v="2"/>
    <x v="0"/>
  </r>
  <r>
    <s v="A139"/>
    <s v="P036"/>
    <s v="D005"/>
    <x v="113"/>
    <d v="1899-12-30T10:45:00"/>
    <s v="Therapy"/>
    <x v="1"/>
    <x v="1"/>
    <s v="Basic screening"/>
    <n v="4217.3"/>
    <d v="2023-10-10T00:00:00"/>
    <x v="5"/>
    <s v="Wilson"/>
    <s v="M"/>
    <d v="1997-12-26T00:00:00"/>
    <n v="8545613046"/>
    <s v="123 Elm St"/>
    <n v="44838"/>
    <x v="1"/>
    <s v="INS764076"/>
    <s v="Sarah"/>
    <s v="Taylor"/>
    <x v="2"/>
    <n v="9118538547"/>
    <n v="26"/>
    <x v="0"/>
    <m/>
    <s v="T035"/>
    <x v="23"/>
    <n v="1654.53"/>
    <x v="0"/>
    <x v="2"/>
  </r>
  <r>
    <s v="A140"/>
    <s v="P012"/>
    <s v="D005"/>
    <x v="114"/>
    <d v="1899-12-30T15:15:00"/>
    <s v="Checkup"/>
    <x v="1"/>
    <x v="3"/>
    <s v="Standard procedure"/>
    <n v="4019.13"/>
    <d v="2023-02-05T00:00:00"/>
    <x v="8"/>
    <s v="Davis"/>
    <s v="F"/>
    <d v="1991-12-08T00:00:00"/>
    <n v="8135666049"/>
    <s v="321 Maple Dr"/>
    <n v="45043"/>
    <x v="1"/>
    <s v="INS104014"/>
    <s v="Sarah"/>
    <s v="Taylor"/>
    <x v="2"/>
    <n v="9118538547"/>
    <n v="26"/>
    <x v="0"/>
    <m/>
    <s v="T014"/>
    <x v="13"/>
    <n v="2082.3000000000002"/>
    <x v="1"/>
    <x v="1"/>
  </r>
  <r>
    <s v="A141"/>
    <s v="P041"/>
    <s v="D002"/>
    <x v="115"/>
    <d v="1899-12-30T15:15:00"/>
    <s v="Checkup"/>
    <x v="3"/>
    <x v="2"/>
    <s v="Basic screening"/>
    <n v="3689.35"/>
    <d v="2023-06-15T00:00:00"/>
    <x v="2"/>
    <s v="Williams"/>
    <s v="M"/>
    <d v="1951-06-19T00:00:00"/>
    <n v="7020645498"/>
    <s v="456 Oak Ave"/>
    <n v="44758"/>
    <x v="0"/>
    <s v="INS997059"/>
    <s v="Jane"/>
    <s v="Davis"/>
    <x v="0"/>
    <n v="9004382050"/>
    <n v="24"/>
    <x v="1"/>
    <m/>
    <s v="T094"/>
    <x v="41"/>
    <n v="1519.95"/>
    <x v="2"/>
    <x v="2"/>
  </r>
  <r>
    <s v="A142"/>
    <s v="P019"/>
    <s v="D003"/>
    <x v="116"/>
    <d v="1899-12-30T11:45:00"/>
    <s v="Therapy"/>
    <x v="1"/>
    <x v="1"/>
    <s v="Advanced protocol"/>
    <n v="662.72"/>
    <d v="2023-11-01T00:00:00"/>
    <x v="9"/>
    <s v="Miller"/>
    <s v="M"/>
    <d v="1975-05-24T00:00:00"/>
    <n v="8618058864"/>
    <s v="789 Pine Rd"/>
    <n v="45101"/>
    <x v="0"/>
    <s v="INS855073"/>
    <s v="Jane"/>
    <s v="Smith"/>
    <x v="0"/>
    <n v="8737740598"/>
    <n v="19"/>
    <x v="1"/>
    <m/>
    <s v="T046"/>
    <x v="28"/>
    <n v="1526.36"/>
    <x v="2"/>
    <x v="1"/>
  </r>
  <r>
    <s v="A143"/>
    <s v="P012"/>
    <s v="D007"/>
    <x v="87"/>
    <d v="1899-12-30T12:15:00"/>
    <s v="Checkup"/>
    <x v="2"/>
    <x v="1"/>
    <s v="Standard procedure"/>
    <n v="1864.08"/>
    <d v="2023-09-21T00:00:00"/>
    <x v="8"/>
    <s v="Davis"/>
    <s v="F"/>
    <d v="1991-12-08T00:00:00"/>
    <n v="8135666049"/>
    <s v="321 Maple Dr"/>
    <n v="45043"/>
    <x v="1"/>
    <s v="INS104014"/>
    <s v="Robert"/>
    <s v="Davis"/>
    <x v="1"/>
    <n v="8217493115"/>
    <n v="26"/>
    <x v="2"/>
    <m/>
    <s v="T014"/>
    <x v="13"/>
    <n v="2082.3000000000002"/>
    <x v="1"/>
    <x v="1"/>
  </r>
  <r>
    <s v="A144"/>
    <s v="P009"/>
    <s v="D006"/>
    <x v="12"/>
    <d v="1899-12-30T12:15:00"/>
    <s v="Checkup"/>
    <x v="1"/>
    <x v="0"/>
    <s v="Advanced protocol"/>
    <n v="1684.01"/>
    <d v="2023-08-16T00:00:00"/>
    <x v="8"/>
    <s v="Davis"/>
    <s v="M"/>
    <d v="1971-12-11T00:00:00"/>
    <n v="7060324619"/>
    <s v="321 Maple Dr"/>
    <n v="44822"/>
    <x v="2"/>
    <s v="INS136631"/>
    <s v="Alex"/>
    <s v="Davis"/>
    <x v="0"/>
    <n v="6570137231"/>
    <n v="23"/>
    <x v="0"/>
    <m/>
    <s v="T107"/>
    <x v="25"/>
    <n v="3512.69"/>
    <x v="1"/>
    <x v="0"/>
  </r>
  <r>
    <s v="A145"/>
    <s v="P007"/>
    <s v="D002"/>
    <x v="117"/>
    <d v="1899-12-30T14:45:00"/>
    <s v="Checkup"/>
    <x v="0"/>
    <x v="4"/>
    <s v="Advanced protocol"/>
    <n v="2120.61"/>
    <d v="2023-11-11T00:00:00"/>
    <x v="0"/>
    <s v="Johnson"/>
    <s v="F"/>
    <d v="1989-06-08T00:00:00"/>
    <n v="6278710077"/>
    <s v="789 Pine Rd"/>
    <n v="44555"/>
    <x v="1"/>
    <s v="INS465890"/>
    <s v="Jane"/>
    <s v="Davis"/>
    <x v="0"/>
    <n v="9004382050"/>
    <n v="24"/>
    <x v="1"/>
    <m/>
    <s v="T095"/>
    <x v="18"/>
    <n v="2097.48"/>
    <x v="2"/>
    <x v="2"/>
  </r>
  <r>
    <s v="A146"/>
    <s v="P028"/>
    <s v="D006"/>
    <x v="118"/>
    <d v="1899-12-30T09:30:00"/>
    <s v="Emergency"/>
    <x v="1"/>
    <x v="1"/>
    <s v="Advanced protocol"/>
    <n v="894.39"/>
    <d v="2023-01-05T00:00:00"/>
    <x v="0"/>
    <s v="Moore"/>
    <s v="M"/>
    <d v="1993-04-13T00:00:00"/>
    <n v="7028910482"/>
    <s v="321 Maple Dr"/>
    <n v="45066"/>
    <x v="1"/>
    <s v="INS679036"/>
    <s v="Alex"/>
    <s v="Davis"/>
    <x v="0"/>
    <n v="6570137231"/>
    <n v="23"/>
    <x v="0"/>
    <m/>
    <s v="T021"/>
    <x v="17"/>
    <n v="2926.23"/>
    <x v="0"/>
    <x v="2"/>
  </r>
  <r>
    <s v="A147"/>
    <s v="P014"/>
    <s v="D002"/>
    <x v="105"/>
    <d v="1899-12-30T17:30:00"/>
    <s v="Emergency"/>
    <x v="3"/>
    <x v="1"/>
    <s v="Basic screening"/>
    <n v="4716.3100000000004"/>
    <d v="2023-11-13T00:00:00"/>
    <x v="0"/>
    <s v="Taylor"/>
    <s v="M"/>
    <d v="1968-02-27T00:00:00"/>
    <n v="7292262512"/>
    <s v="789 Pine Rd"/>
    <n v="45272"/>
    <x v="1"/>
    <s v="INS118070"/>
    <s v="Jane"/>
    <s v="Davis"/>
    <x v="0"/>
    <n v="9004382050"/>
    <n v="24"/>
    <x v="1"/>
    <m/>
    <s v="T020"/>
    <x v="16"/>
    <n v="4113.62"/>
    <x v="1"/>
    <x v="2"/>
  </r>
  <r>
    <s v="A148"/>
    <s v="P031"/>
    <s v="D002"/>
    <x v="119"/>
    <d v="1899-12-30T08:30:00"/>
    <s v="Consultation"/>
    <x v="0"/>
    <x v="3"/>
    <s v="Advanced protocol"/>
    <n v="2992.11"/>
    <d v="2023-12-06T00:00:00"/>
    <x v="2"/>
    <s v="Miller"/>
    <s v="M"/>
    <d v="1987-01-14T00:00:00"/>
    <n v="8280346676"/>
    <s v="321 Maple Dr"/>
    <n v="44740"/>
    <x v="0"/>
    <s v="INS542905"/>
    <s v="Jane"/>
    <s v="Davis"/>
    <x v="0"/>
    <n v="9004382050"/>
    <n v="24"/>
    <x v="1"/>
    <m/>
    <s v="T044"/>
    <x v="27"/>
    <n v="4186.3500000000004"/>
    <x v="0"/>
    <x v="1"/>
  </r>
  <r>
    <s v="A149"/>
    <s v="P019"/>
    <s v="D002"/>
    <x v="108"/>
    <d v="1899-12-30T12:30:00"/>
    <s v="Follow-up"/>
    <x v="3"/>
    <x v="3"/>
    <s v="Advanced protocol"/>
    <n v="1874.86"/>
    <d v="2023-07-26T00:00:00"/>
    <x v="9"/>
    <s v="Miller"/>
    <s v="M"/>
    <d v="1975-05-24T00:00:00"/>
    <n v="8618058864"/>
    <s v="789 Pine Rd"/>
    <n v="45101"/>
    <x v="0"/>
    <s v="INS855073"/>
    <s v="Jane"/>
    <s v="Davis"/>
    <x v="0"/>
    <n v="9004382050"/>
    <n v="24"/>
    <x v="1"/>
    <m/>
    <s v="T046"/>
    <x v="28"/>
    <n v="1526.36"/>
    <x v="2"/>
    <x v="1"/>
  </r>
  <r>
    <s v="A150"/>
    <s v="P047"/>
    <s v="D003"/>
    <x v="12"/>
    <d v="1899-12-30T10:45:00"/>
    <s v="Therapy"/>
    <x v="3"/>
    <x v="2"/>
    <s v="Advanced protocol"/>
    <n v="2286.42"/>
    <d v="2023-08-16T00:00:00"/>
    <x v="6"/>
    <s v="Moore"/>
    <s v="M"/>
    <d v="1995-12-13T00:00:00"/>
    <n v="8715732851"/>
    <s v="321 Maple Dr"/>
    <n v="44701"/>
    <x v="0"/>
    <s v="INS337549"/>
    <s v="Jane"/>
    <s v="Smith"/>
    <x v="0"/>
    <n v="8737740598"/>
    <n v="19"/>
    <x v="1"/>
    <m/>
    <s v="T023"/>
    <x v="18"/>
    <n v="3246.5"/>
    <x v="1"/>
    <x v="0"/>
  </r>
  <r>
    <s v="A151"/>
    <s v="P016"/>
    <s v="D002"/>
    <x v="120"/>
    <d v="1899-12-30T09:15:00"/>
    <s v="Therapy"/>
    <x v="0"/>
    <x v="0"/>
    <s v="Standard procedure"/>
    <n v="2512.41"/>
    <d v="2023-01-28T00:00:00"/>
    <x v="5"/>
    <s v="Taylor"/>
    <s v="M"/>
    <d v="2000-07-22T00:00:00"/>
    <n v="7223380592"/>
    <s v="789 Pine Rd"/>
    <n v="44400"/>
    <x v="2"/>
    <s v="INS156958"/>
    <s v="Jane"/>
    <s v="Davis"/>
    <x v="0"/>
    <n v="9004382050"/>
    <n v="24"/>
    <x v="1"/>
    <m/>
    <s v="T008"/>
    <x v="7"/>
    <n v="3413.64"/>
    <x v="2"/>
    <x v="2"/>
  </r>
  <r>
    <s v="A152"/>
    <s v="P005"/>
    <s v="D004"/>
    <x v="121"/>
    <d v="1899-12-30T08:30:00"/>
    <s v="Therapy"/>
    <x v="3"/>
    <x v="2"/>
    <s v="Standard procedure"/>
    <n v="3202.67"/>
    <d v="2023-04-14T00:00:00"/>
    <x v="4"/>
    <s v="Wilson"/>
    <s v="M"/>
    <d v="1960-06-23T00:00:00"/>
    <n v="7734463155"/>
    <s v="123 Elm St"/>
    <n v="44468"/>
    <x v="1"/>
    <s v="INS788105"/>
    <s v="David"/>
    <s v="Jones"/>
    <x v="0"/>
    <n v="6594221991"/>
    <n v="28"/>
    <x v="0"/>
    <m/>
    <s v="T010"/>
    <x v="9"/>
    <n v="1595.67"/>
    <x v="2"/>
    <x v="1"/>
  </r>
  <r>
    <s v="A153"/>
    <s v="P035"/>
    <s v="D009"/>
    <x v="122"/>
    <d v="1899-12-30T12:45:00"/>
    <s v="Consultation"/>
    <x v="3"/>
    <x v="3"/>
    <s v="Basic screening"/>
    <n v="2820.56"/>
    <d v="2023-07-08T00:00:00"/>
    <x v="4"/>
    <s v="Wilson"/>
    <s v="F"/>
    <d v="1993-04-13T00:00:00"/>
    <n v="7039619487"/>
    <s v="123 Elm St"/>
    <n v="45116"/>
    <x v="1"/>
    <s v="INS897079"/>
    <s v="Sarah"/>
    <s v="Smith"/>
    <x v="0"/>
    <n v="7387087517"/>
    <n v="26"/>
    <x v="0"/>
    <m/>
    <s v="T064"/>
    <x v="35"/>
    <n v="3815.93"/>
    <x v="2"/>
    <x v="1"/>
  </r>
  <r>
    <s v="A154"/>
    <s v="P012"/>
    <s v="D006"/>
    <x v="123"/>
    <d v="1899-12-30T17:30:00"/>
    <s v="Emergency"/>
    <x v="1"/>
    <x v="4"/>
    <s v="Basic screening"/>
    <n v="4637.26"/>
    <d v="2023-03-06T00:00:00"/>
    <x v="8"/>
    <s v="Davis"/>
    <s v="F"/>
    <d v="1991-12-08T00:00:00"/>
    <n v="8135666049"/>
    <s v="321 Maple Dr"/>
    <n v="45043"/>
    <x v="1"/>
    <s v="INS104014"/>
    <s v="Alex"/>
    <s v="Davis"/>
    <x v="0"/>
    <n v="6570137231"/>
    <n v="23"/>
    <x v="0"/>
    <m/>
    <s v="T014"/>
    <x v="13"/>
    <n v="2082.3000000000002"/>
    <x v="1"/>
    <x v="1"/>
  </r>
  <r>
    <s v="A155"/>
    <s v="P025"/>
    <s v="D001"/>
    <x v="124"/>
    <d v="1899-12-30T09:30:00"/>
    <s v="Consultation"/>
    <x v="2"/>
    <x v="3"/>
    <s v="Standard procedure"/>
    <n v="2736.34"/>
    <d v="2023-01-03T00:00:00"/>
    <x v="2"/>
    <s v="Wilson"/>
    <s v="M"/>
    <d v="1966-08-14T00:00:00"/>
    <n v="7482069727"/>
    <s v="123 Elm St"/>
    <n v="44448"/>
    <x v="3"/>
    <s v="INS833429"/>
    <s v="David"/>
    <s v="Taylor"/>
    <x v="2"/>
    <n v="8322010158"/>
    <n v="17"/>
    <x v="2"/>
    <m/>
    <s v="T004"/>
    <x v="3"/>
    <n v="4799.8599999999997"/>
    <x v="0"/>
    <x v="2"/>
  </r>
  <r>
    <s v="A156"/>
    <s v="P021"/>
    <s v="D008"/>
    <x v="55"/>
    <d v="1899-12-30T14:30:00"/>
    <s v="Therapy"/>
    <x v="3"/>
    <x v="0"/>
    <s v="Basic screening"/>
    <n v="4964.71"/>
    <d v="2023-11-22T00:00:00"/>
    <x v="5"/>
    <s v="Wilson"/>
    <s v="M"/>
    <d v="2002-03-01T00:00:00"/>
    <n v="7765390555"/>
    <s v="321 Maple Dr"/>
    <n v="44580"/>
    <x v="0"/>
    <s v="INS297392"/>
    <s v="Linda"/>
    <s v="Brown"/>
    <x v="2"/>
    <n v="9069162601"/>
    <n v="5"/>
    <x v="2"/>
    <m/>
    <s v="T033"/>
    <x v="22"/>
    <n v="980.95"/>
    <x v="1"/>
    <x v="1"/>
  </r>
  <r>
    <s v="A157"/>
    <s v="P036"/>
    <s v="D007"/>
    <x v="125"/>
    <d v="1899-12-30T11:00:00"/>
    <s v="Follow-up"/>
    <x v="3"/>
    <x v="3"/>
    <s v="Standard procedure"/>
    <n v="4331.41"/>
    <d v="2023-05-12T00:00:00"/>
    <x v="5"/>
    <s v="Wilson"/>
    <s v="M"/>
    <d v="1997-12-26T00:00:00"/>
    <n v="8545613046"/>
    <s v="123 Elm St"/>
    <n v="44838"/>
    <x v="1"/>
    <s v="INS764076"/>
    <s v="Robert"/>
    <s v="Davis"/>
    <x v="1"/>
    <n v="8217493115"/>
    <n v="26"/>
    <x v="2"/>
    <m/>
    <s v="T035"/>
    <x v="23"/>
    <n v="1654.53"/>
    <x v="0"/>
    <x v="2"/>
  </r>
  <r>
    <s v="A158"/>
    <s v="P023"/>
    <s v="D010"/>
    <x v="48"/>
    <d v="1899-12-30T12:15:00"/>
    <s v="Checkup"/>
    <x v="3"/>
    <x v="0"/>
    <s v="Advanced protocol"/>
    <n v="1438.3"/>
    <d v="2023-07-12T00:00:00"/>
    <x v="3"/>
    <s v="Johnson"/>
    <s v="M"/>
    <d v="1994-02-22T00:00:00"/>
    <n v="6141951830"/>
    <s v="789 Pine Rd"/>
    <n v="44557"/>
    <x v="0"/>
    <s v="INS730152"/>
    <s v="Linda"/>
    <s v="Wilson"/>
    <x v="1"/>
    <n v="6176383634"/>
    <n v="21"/>
    <x v="1"/>
    <m/>
    <s v="T039"/>
    <x v="25"/>
    <n v="2976.02"/>
    <x v="0"/>
    <x v="2"/>
  </r>
  <r>
    <s v="A159"/>
    <s v="P016"/>
    <s v="D003"/>
    <x v="82"/>
    <d v="1899-12-30T16:15:00"/>
    <s v="Emergency"/>
    <x v="1"/>
    <x v="0"/>
    <s v="Advanced protocol"/>
    <n v="4687.68"/>
    <d v="2023-04-08T00:00:00"/>
    <x v="5"/>
    <s v="Taylor"/>
    <s v="M"/>
    <d v="2000-07-22T00:00:00"/>
    <n v="7223380592"/>
    <s v="789 Pine Rd"/>
    <n v="44400"/>
    <x v="2"/>
    <s v="INS156958"/>
    <s v="Jane"/>
    <s v="Smith"/>
    <x v="0"/>
    <n v="8737740598"/>
    <n v="19"/>
    <x v="1"/>
    <m/>
    <s v="T008"/>
    <x v="7"/>
    <n v="3413.64"/>
    <x v="2"/>
    <x v="2"/>
  </r>
  <r>
    <s v="A160"/>
    <s v="P039"/>
    <s v="D001"/>
    <x v="126"/>
    <d v="1899-12-30T12:45:00"/>
    <s v="Emergency"/>
    <x v="2"/>
    <x v="0"/>
    <s v="Basic screening"/>
    <n v="1023.65"/>
    <d v="2023-12-17T00:00:00"/>
    <x v="6"/>
    <s v="Wilson"/>
    <s v="F"/>
    <d v="1950-12-12T00:00:00"/>
    <n v="9271131338"/>
    <s v="789 Pine Rd"/>
    <n v="44264"/>
    <x v="2"/>
    <s v="INS348710"/>
    <s v="David"/>
    <s v="Taylor"/>
    <x v="2"/>
    <n v="8322010158"/>
    <n v="17"/>
    <x v="2"/>
    <m/>
    <s v="T009"/>
    <x v="8"/>
    <n v="4541.1400000000003"/>
    <x v="1"/>
    <x v="1"/>
  </r>
  <r>
    <s v="A161"/>
    <s v="P045"/>
    <s v="D005"/>
    <x v="127"/>
    <d v="1899-12-30T10:45:00"/>
    <s v="Consultation"/>
    <x v="0"/>
    <x v="0"/>
    <s v="Standard procedure"/>
    <n v="4178.5200000000004"/>
    <d v="2023-06-17T00:00:00"/>
    <x v="3"/>
    <s v="Miller"/>
    <s v="F"/>
    <d v="1966-04-25T00:00:00"/>
    <n v="7579616535"/>
    <s v="321 Maple Dr"/>
    <n v="44219"/>
    <x v="1"/>
    <s v="INS701863"/>
    <s v="Sarah"/>
    <s v="Taylor"/>
    <x v="2"/>
    <n v="9118538547"/>
    <n v="26"/>
    <x v="0"/>
    <m/>
    <s v="T006"/>
    <x v="5"/>
    <n v="1381"/>
    <x v="0"/>
    <x v="0"/>
  </r>
  <r>
    <s v="A162"/>
    <s v="P042"/>
    <s v="D004"/>
    <x v="38"/>
    <d v="1899-12-30T17:15:00"/>
    <s v="Emergency"/>
    <x v="1"/>
    <x v="0"/>
    <s v="Standard procedure"/>
    <n v="2212.8000000000002"/>
    <d v="2023-01-01T00:00:00"/>
    <x v="6"/>
    <s v="Smith"/>
    <s v="F"/>
    <d v="1954-08-22T00:00:00"/>
    <n v="7040069008"/>
    <s v="789 Pine Rd"/>
    <n v="44635"/>
    <x v="1"/>
    <s v="INS956748"/>
    <s v="David"/>
    <s v="Jones"/>
    <x v="0"/>
    <n v="6594221991"/>
    <n v="28"/>
    <x v="0"/>
    <m/>
    <s v="T162"/>
    <x v="44"/>
    <n v="2212.8000000000002"/>
    <x v="2"/>
    <x v="1"/>
  </r>
  <r>
    <s v="A163"/>
    <s v="P039"/>
    <s v="D010"/>
    <x v="128"/>
    <d v="1899-12-30T15:00:00"/>
    <s v="Therapy"/>
    <x v="1"/>
    <x v="4"/>
    <s v="Basic screening"/>
    <n v="4450.88"/>
    <d v="2023-06-27T00:00:00"/>
    <x v="6"/>
    <s v="Wilson"/>
    <s v="F"/>
    <d v="1950-12-12T00:00:00"/>
    <n v="9271131338"/>
    <s v="789 Pine Rd"/>
    <n v="44264"/>
    <x v="2"/>
    <s v="INS348710"/>
    <s v="Linda"/>
    <s v="Wilson"/>
    <x v="1"/>
    <n v="6176383634"/>
    <n v="21"/>
    <x v="1"/>
    <m/>
    <s v="T009"/>
    <x v="8"/>
    <n v="4541.1400000000003"/>
    <x v="1"/>
    <x v="1"/>
  </r>
  <r>
    <s v="A164"/>
    <s v="P014"/>
    <s v="D008"/>
    <x v="129"/>
    <d v="1899-12-30T17:15:00"/>
    <s v="Therapy"/>
    <x v="2"/>
    <x v="2"/>
    <s v="Standard procedure"/>
    <n v="4406.26"/>
    <d v="2023-07-28T00:00:00"/>
    <x v="0"/>
    <s v="Taylor"/>
    <s v="M"/>
    <d v="1968-02-27T00:00:00"/>
    <n v="7292262512"/>
    <s v="789 Pine Rd"/>
    <n v="45272"/>
    <x v="1"/>
    <s v="INS118070"/>
    <s v="Linda"/>
    <s v="Brown"/>
    <x v="2"/>
    <n v="9069162601"/>
    <n v="5"/>
    <x v="2"/>
    <m/>
    <s v="T020"/>
    <x v="16"/>
    <n v="4113.62"/>
    <x v="1"/>
    <x v="2"/>
  </r>
  <r>
    <s v="A165"/>
    <s v="P031"/>
    <s v="D001"/>
    <x v="28"/>
    <d v="1899-12-30T15:30:00"/>
    <s v="Consultation"/>
    <x v="2"/>
    <x v="1"/>
    <s v="Advanced protocol"/>
    <n v="4126.66"/>
    <d v="2023-04-04T00:00:00"/>
    <x v="2"/>
    <s v="Miller"/>
    <s v="M"/>
    <d v="1987-01-14T00:00:00"/>
    <n v="8280346676"/>
    <s v="321 Maple Dr"/>
    <n v="44740"/>
    <x v="0"/>
    <s v="INS542905"/>
    <s v="David"/>
    <s v="Taylor"/>
    <x v="2"/>
    <n v="8322010158"/>
    <n v="17"/>
    <x v="2"/>
    <m/>
    <s v="T044"/>
    <x v="27"/>
    <n v="4186.3500000000004"/>
    <x v="0"/>
    <x v="1"/>
  </r>
  <r>
    <s v="A166"/>
    <s v="P005"/>
    <s v="D010"/>
    <x v="130"/>
    <d v="1899-12-30T14:45:00"/>
    <s v="Therapy"/>
    <x v="1"/>
    <x v="2"/>
    <s v="Basic screening"/>
    <n v="4055.14"/>
    <d v="2023-01-12T00:00:00"/>
    <x v="4"/>
    <s v="Wilson"/>
    <s v="M"/>
    <d v="1960-06-23T00:00:00"/>
    <n v="7734463155"/>
    <s v="123 Elm St"/>
    <n v="44468"/>
    <x v="1"/>
    <s v="INS788105"/>
    <s v="Linda"/>
    <s v="Wilson"/>
    <x v="1"/>
    <n v="6176383634"/>
    <n v="21"/>
    <x v="1"/>
    <m/>
    <s v="T010"/>
    <x v="9"/>
    <n v="1595.67"/>
    <x v="2"/>
    <x v="1"/>
  </r>
  <r>
    <s v="A167"/>
    <s v="P035"/>
    <s v="D001"/>
    <x v="131"/>
    <d v="1899-12-30T08:15:00"/>
    <s v="Follow-up"/>
    <x v="0"/>
    <x v="0"/>
    <s v="Basic screening"/>
    <n v="1871.06"/>
    <d v="2023-11-15T00:00:00"/>
    <x v="4"/>
    <s v="Wilson"/>
    <s v="F"/>
    <d v="1993-04-13T00:00:00"/>
    <n v="7039619487"/>
    <s v="123 Elm St"/>
    <n v="45116"/>
    <x v="1"/>
    <s v="INS897079"/>
    <s v="David"/>
    <s v="Taylor"/>
    <x v="2"/>
    <n v="8322010158"/>
    <n v="17"/>
    <x v="2"/>
    <m/>
    <s v="T064"/>
    <x v="35"/>
    <n v="3815.93"/>
    <x v="2"/>
    <x v="1"/>
  </r>
  <r>
    <s v="A168"/>
    <s v="P023"/>
    <s v="D004"/>
    <x v="132"/>
    <d v="1899-12-30T10:00:00"/>
    <s v="Consultation"/>
    <x v="1"/>
    <x v="4"/>
    <s v="Standard procedure"/>
    <n v="864.14"/>
    <d v="2023-09-29T00:00:00"/>
    <x v="3"/>
    <s v="Johnson"/>
    <s v="M"/>
    <d v="1994-02-22T00:00:00"/>
    <n v="6141951830"/>
    <s v="789 Pine Rd"/>
    <n v="44557"/>
    <x v="0"/>
    <s v="INS730152"/>
    <s v="David"/>
    <s v="Jones"/>
    <x v="0"/>
    <n v="6594221991"/>
    <n v="28"/>
    <x v="0"/>
    <m/>
    <s v="T039"/>
    <x v="25"/>
    <n v="2976.02"/>
    <x v="0"/>
    <x v="2"/>
  </r>
  <r>
    <s v="A169"/>
    <s v="P029"/>
    <s v="D008"/>
    <x v="133"/>
    <d v="1899-12-30T16:45:00"/>
    <s v="Follow-up"/>
    <x v="2"/>
    <x v="3"/>
    <s v="Basic screening"/>
    <n v="2313.41"/>
    <d v="2023-07-24T00:00:00"/>
    <x v="4"/>
    <s v="Smith"/>
    <s v="M"/>
    <d v="2005-05-15T00:00:00"/>
    <n v="8923607677"/>
    <s v="789 Pine Rd"/>
    <n v="45035"/>
    <x v="3"/>
    <s v="INS630089"/>
    <s v="Linda"/>
    <s v="Brown"/>
    <x v="2"/>
    <n v="9069162601"/>
    <n v="5"/>
    <x v="2"/>
    <m/>
    <s v="T012"/>
    <x v="11"/>
    <n v="771.2"/>
    <x v="0"/>
    <x v="0"/>
  </r>
  <r>
    <s v="A170"/>
    <s v="P043"/>
    <s v="D005"/>
    <x v="134"/>
    <d v="1899-12-30T09:00:00"/>
    <s v="Checkup"/>
    <x v="0"/>
    <x v="4"/>
    <s v="Standard procedure"/>
    <n v="1280.8599999999999"/>
    <d v="2023-03-03T00:00:00"/>
    <x v="3"/>
    <s v="Brown"/>
    <s v="M"/>
    <d v="1980-03-25T00:00:00"/>
    <n v="9127665406"/>
    <s v="789 Pine Rd"/>
    <n v="44760"/>
    <x v="0"/>
    <s v="INS882355"/>
    <s v="Sarah"/>
    <s v="Taylor"/>
    <x v="2"/>
    <n v="9118538547"/>
    <n v="26"/>
    <x v="0"/>
    <m/>
    <s v="T067"/>
    <x v="36"/>
    <n v="930.72"/>
    <x v="1"/>
    <x v="0"/>
  </r>
  <r>
    <s v="A171"/>
    <s v="P011"/>
    <s v="D002"/>
    <x v="32"/>
    <d v="1899-12-30T16:30:00"/>
    <s v="Follow-up"/>
    <x v="2"/>
    <x v="0"/>
    <s v="Standard procedure"/>
    <n v="3627.28"/>
    <d v="2023-04-18T00:00:00"/>
    <x v="1"/>
    <s v="Jones"/>
    <s v="F"/>
    <d v="1966-12-04T00:00:00"/>
    <n v="8990604070"/>
    <s v="789 Pine Rd"/>
    <n v="44831"/>
    <x v="1"/>
    <s v="INS172991"/>
    <s v="Jane"/>
    <s v="Davis"/>
    <x v="0"/>
    <n v="9004382050"/>
    <n v="24"/>
    <x v="1"/>
    <m/>
    <s v="T099"/>
    <x v="42"/>
    <n v="4101.6000000000004"/>
    <x v="1"/>
    <x v="0"/>
  </r>
  <r>
    <s v="A172"/>
    <s v="P018"/>
    <s v="D006"/>
    <x v="54"/>
    <d v="1899-12-30T16:15:00"/>
    <s v="Checkup"/>
    <x v="0"/>
    <x v="4"/>
    <s v="Standard procedure"/>
    <n v="2057.4499999999998"/>
    <d v="2023-03-09T00:00:00"/>
    <x v="8"/>
    <s v="Wilson"/>
    <s v="M"/>
    <d v="1979-09-24T00:00:00"/>
    <n v="7145815738"/>
    <s v="789 Pine Rd"/>
    <n v="44827"/>
    <x v="2"/>
    <s v="INS635017"/>
    <s v="Alex"/>
    <s v="Davis"/>
    <x v="0"/>
    <n v="6570137231"/>
    <n v="23"/>
    <x v="0"/>
    <m/>
    <s v="T114"/>
    <x v="43"/>
    <n v="3030.34"/>
    <x v="2"/>
    <x v="0"/>
  </r>
  <r>
    <s v="A173"/>
    <s v="P047"/>
    <s v="D005"/>
    <x v="135"/>
    <d v="1899-12-30T13:30:00"/>
    <s v="Checkup"/>
    <x v="3"/>
    <x v="4"/>
    <s v="Standard procedure"/>
    <n v="4890.25"/>
    <d v="2023-06-04T00:00:00"/>
    <x v="6"/>
    <s v="Moore"/>
    <s v="M"/>
    <d v="1995-12-13T00:00:00"/>
    <n v="8715732851"/>
    <s v="321 Maple Dr"/>
    <n v="44701"/>
    <x v="0"/>
    <s v="INS337549"/>
    <s v="Sarah"/>
    <s v="Taylor"/>
    <x v="2"/>
    <n v="9118538547"/>
    <n v="26"/>
    <x v="0"/>
    <m/>
    <s v="T023"/>
    <x v="18"/>
    <n v="3246.5"/>
    <x v="1"/>
    <x v="0"/>
  </r>
  <r>
    <s v="A174"/>
    <s v="P012"/>
    <s v="D002"/>
    <x v="136"/>
    <d v="1899-12-30T11:15:00"/>
    <s v="Follow-up"/>
    <x v="2"/>
    <x v="0"/>
    <s v="Standard procedure"/>
    <n v="3384.37"/>
    <d v="2023-10-31T00:00:00"/>
    <x v="8"/>
    <s v="Davis"/>
    <s v="F"/>
    <d v="1991-12-08T00:00:00"/>
    <n v="8135666049"/>
    <s v="321 Maple Dr"/>
    <n v="45043"/>
    <x v="1"/>
    <s v="INS104014"/>
    <s v="Jane"/>
    <s v="Davis"/>
    <x v="0"/>
    <n v="9004382050"/>
    <n v="24"/>
    <x v="1"/>
    <m/>
    <s v="T014"/>
    <x v="13"/>
    <n v="2082.3000000000002"/>
    <x v="1"/>
    <x v="1"/>
  </r>
  <r>
    <s v="A175"/>
    <s v="P009"/>
    <s v="D003"/>
    <x v="137"/>
    <d v="1899-12-30T17:00:00"/>
    <s v="Consultation"/>
    <x v="2"/>
    <x v="4"/>
    <s v="Basic screening"/>
    <n v="4201.16"/>
    <d v="2023-10-22T00:00:00"/>
    <x v="8"/>
    <s v="Davis"/>
    <s v="M"/>
    <d v="1971-12-11T00:00:00"/>
    <n v="7060324619"/>
    <s v="321 Maple Dr"/>
    <n v="44822"/>
    <x v="2"/>
    <s v="INS136631"/>
    <s v="Jane"/>
    <s v="Smith"/>
    <x v="0"/>
    <n v="8737740598"/>
    <n v="19"/>
    <x v="1"/>
    <m/>
    <s v="T107"/>
    <x v="25"/>
    <n v="3512.69"/>
    <x v="1"/>
    <x v="0"/>
  </r>
  <r>
    <s v="A176"/>
    <s v="P010"/>
    <s v="D009"/>
    <x v="138"/>
    <d v="1899-12-30T09:30:00"/>
    <s v="Therapy"/>
    <x v="1"/>
    <x v="1"/>
    <s v="Advanced protocol"/>
    <n v="1096.3599999999999"/>
    <d v="2023-04-26T00:00:00"/>
    <x v="5"/>
    <s v="Taylor"/>
    <s v="M"/>
    <d v="2001-10-13T00:00:00"/>
    <n v="7081396733"/>
    <s v="123 Elm St"/>
    <n v="44797"/>
    <x v="0"/>
    <s v="INS866577"/>
    <s v="Sarah"/>
    <s v="Smith"/>
    <x v="0"/>
    <n v="7387087517"/>
    <n v="26"/>
    <x v="0"/>
    <m/>
    <s v="T040"/>
    <x v="26"/>
    <n v="695.36"/>
    <x v="2"/>
    <x v="2"/>
  </r>
  <r>
    <s v="A177"/>
    <s v="P044"/>
    <s v="D007"/>
    <x v="12"/>
    <d v="1899-12-30T12:30:00"/>
    <s v="Therapy"/>
    <x v="2"/>
    <x v="1"/>
    <s v="Advanced protocol"/>
    <n v="4379.07"/>
    <d v="2023-08-16T00:00:00"/>
    <x v="2"/>
    <s v="Taylor"/>
    <s v="F"/>
    <d v="1976-03-11T00:00:00"/>
    <n v="9449458981"/>
    <s v="321 Maple Dr"/>
    <n v="44952"/>
    <x v="2"/>
    <s v="INS364512"/>
    <s v="Robert"/>
    <s v="Davis"/>
    <x v="1"/>
    <n v="8217493115"/>
    <n v="26"/>
    <x v="2"/>
    <m/>
    <s v="T076"/>
    <x v="37"/>
    <n v="4945.03"/>
    <x v="1"/>
    <x v="0"/>
  </r>
  <r>
    <s v="A178"/>
    <s v="P017"/>
    <s v="D007"/>
    <x v="139"/>
    <d v="1899-12-30T13:15:00"/>
    <s v="Checkup"/>
    <x v="2"/>
    <x v="4"/>
    <s v="Basic screening"/>
    <n v="4652.41"/>
    <d v="2023-01-17T00:00:00"/>
    <x v="6"/>
    <s v="Jones"/>
    <s v="M"/>
    <d v="1991-05-01T00:00:00"/>
    <n v="6158428240"/>
    <s v="456 Oak Ave"/>
    <n v="44830"/>
    <x v="0"/>
    <s v="INS182074"/>
    <s v="Robert"/>
    <s v="Davis"/>
    <x v="1"/>
    <n v="8217493115"/>
    <n v="26"/>
    <x v="2"/>
    <m/>
    <s v="T086"/>
    <x v="39"/>
    <n v="3759.52"/>
    <x v="2"/>
    <x v="0"/>
  </r>
  <r>
    <s v="A179"/>
    <s v="P038"/>
    <s v="D006"/>
    <x v="140"/>
    <d v="1899-12-30T12:15:00"/>
    <s v="Checkup"/>
    <x v="3"/>
    <x v="3"/>
    <s v="Basic screening"/>
    <n v="2691.78"/>
    <d v="2023-03-08T00:00:00"/>
    <x v="4"/>
    <s v="Smith"/>
    <s v="M"/>
    <d v="1991-06-25T00:00:00"/>
    <n v="6347262390"/>
    <s v="789 Pine Rd"/>
    <n v="44305"/>
    <x v="1"/>
    <s v="INS580761"/>
    <s v="Alex"/>
    <s v="Davis"/>
    <x v="0"/>
    <n v="6570137231"/>
    <n v="23"/>
    <x v="0"/>
    <m/>
    <s v="T179"/>
    <x v="45"/>
    <n v="2691.78"/>
    <x v="2"/>
    <x v="2"/>
  </r>
  <r>
    <s v="A180"/>
    <s v="P007"/>
    <s v="D008"/>
    <x v="141"/>
    <d v="1899-12-30T11:00:00"/>
    <s v="Consultation"/>
    <x v="2"/>
    <x v="0"/>
    <s v="Advanced protocol"/>
    <n v="3228.14"/>
    <d v="2023-01-07T00:00:00"/>
    <x v="0"/>
    <s v="Johnson"/>
    <s v="F"/>
    <d v="1989-06-08T00:00:00"/>
    <n v="6278710077"/>
    <s v="789 Pine Rd"/>
    <n v="44555"/>
    <x v="1"/>
    <s v="INS465890"/>
    <s v="Linda"/>
    <s v="Brown"/>
    <x v="2"/>
    <n v="9069162601"/>
    <n v="5"/>
    <x v="2"/>
    <m/>
    <s v="T095"/>
    <x v="18"/>
    <n v="2097.48"/>
    <x v="2"/>
    <x v="2"/>
  </r>
  <r>
    <s v="A181"/>
    <s v="P046"/>
    <s v="D004"/>
    <x v="142"/>
    <d v="1899-12-30T13:15:00"/>
    <s v="Emergency"/>
    <x v="3"/>
    <x v="1"/>
    <s v="Advanced protocol"/>
    <n v="3941.64"/>
    <d v="2023-09-03T00:00:00"/>
    <x v="5"/>
    <s v="Taylor"/>
    <s v="F"/>
    <d v="1986-09-01T00:00:00"/>
    <n v="8019925828"/>
    <s v="456 Oak Ave"/>
    <n v="44408"/>
    <x v="1"/>
    <s v="INS368799"/>
    <s v="David"/>
    <s v="Jones"/>
    <x v="0"/>
    <n v="6594221991"/>
    <n v="28"/>
    <x v="0"/>
    <m/>
    <s v="T026"/>
    <x v="21"/>
    <n v="2360.9699999999998"/>
    <x v="0"/>
    <x v="1"/>
  </r>
  <r>
    <s v="A182"/>
    <s v="P013"/>
    <s v="D008"/>
    <x v="143"/>
    <d v="1899-12-30T08:00:00"/>
    <s v="Follow-up"/>
    <x v="3"/>
    <x v="3"/>
    <s v="Advanced protocol"/>
    <n v="1286.77"/>
    <d v="2023-04-12T00:00:00"/>
    <x v="8"/>
    <s v="Johnson"/>
    <s v="F"/>
    <d v="1990-03-28T00:00:00"/>
    <n v="9059178882"/>
    <s v="321 Maple Dr"/>
    <n v="44553"/>
    <x v="0"/>
    <s v="INS373237"/>
    <s v="Linda"/>
    <s v="Brown"/>
    <x v="2"/>
    <n v="9069162601"/>
    <n v="5"/>
    <x v="2"/>
    <m/>
    <s v="T078"/>
    <x v="38"/>
    <n v="3628.15"/>
    <x v="1"/>
    <x v="1"/>
  </r>
  <r>
    <s v="A183"/>
    <s v="P040"/>
    <s v="D004"/>
    <x v="144"/>
    <d v="1899-12-30T16:15:00"/>
    <s v="Checkup"/>
    <x v="3"/>
    <x v="4"/>
    <s v="Advanced protocol"/>
    <n v="2761.55"/>
    <d v="2023-02-03T00:00:00"/>
    <x v="1"/>
    <s v="Williams"/>
    <s v="M"/>
    <d v="1972-05-30T00:00:00"/>
    <n v="7587653815"/>
    <s v="456 Oak Ave"/>
    <n v="44485"/>
    <x v="2"/>
    <s v="INS320984"/>
    <s v="David"/>
    <s v="Jones"/>
    <x v="0"/>
    <n v="6594221991"/>
    <n v="28"/>
    <x v="0"/>
    <m/>
    <s v="T005"/>
    <x v="4"/>
    <n v="582.04999999999995"/>
    <x v="1"/>
    <x v="0"/>
  </r>
  <r>
    <s v="A184"/>
    <s v="P042"/>
    <s v="D008"/>
    <x v="145"/>
    <d v="1899-12-30T17:45:00"/>
    <s v="Therapy"/>
    <x v="3"/>
    <x v="3"/>
    <s v="Advanced protocol"/>
    <n v="2293.98"/>
    <d v="2023-02-26T00:00:00"/>
    <x v="6"/>
    <s v="Smith"/>
    <s v="F"/>
    <d v="1954-08-22T00:00:00"/>
    <n v="7040069008"/>
    <s v="789 Pine Rd"/>
    <n v="44635"/>
    <x v="1"/>
    <s v="INS956748"/>
    <s v="Linda"/>
    <s v="Brown"/>
    <x v="2"/>
    <n v="9069162601"/>
    <n v="5"/>
    <x v="2"/>
    <m/>
    <s v="T162"/>
    <x v="44"/>
    <n v="2212.8000000000002"/>
    <x v="2"/>
    <x v="1"/>
  </r>
  <r>
    <s v="A185"/>
    <s v="P009"/>
    <s v="D009"/>
    <x v="39"/>
    <d v="1899-12-30T14:00:00"/>
    <s v="Consultation"/>
    <x v="0"/>
    <x v="2"/>
    <s v="Standard procedure"/>
    <n v="1158.68"/>
    <d v="2023-03-21T00:00:00"/>
    <x v="8"/>
    <s v="Davis"/>
    <s v="M"/>
    <d v="1971-12-11T00:00:00"/>
    <n v="7060324619"/>
    <s v="321 Maple Dr"/>
    <n v="44822"/>
    <x v="2"/>
    <s v="INS136631"/>
    <s v="Sarah"/>
    <s v="Smith"/>
    <x v="0"/>
    <n v="7387087517"/>
    <n v="26"/>
    <x v="0"/>
    <m/>
    <s v="T107"/>
    <x v="25"/>
    <n v="3512.69"/>
    <x v="1"/>
    <x v="0"/>
  </r>
  <r>
    <s v="A186"/>
    <s v="P050"/>
    <s v="D003"/>
    <x v="37"/>
    <d v="1899-12-30T17:15:00"/>
    <s v="Follow-up"/>
    <x v="1"/>
    <x v="1"/>
    <s v="Basic screening"/>
    <n v="2153.9"/>
    <d v="2023-03-27T00:00:00"/>
    <x v="8"/>
    <s v="Wilson"/>
    <s v="M"/>
    <d v="1993-12-27T00:00:00"/>
    <n v="8301134730"/>
    <s v="321 Maple Dr"/>
    <n v="45044"/>
    <x v="0"/>
    <s v="INS712210"/>
    <s v="Jane"/>
    <s v="Smith"/>
    <x v="0"/>
    <n v="8737740598"/>
    <n v="19"/>
    <x v="1"/>
    <m/>
    <s v="T063"/>
    <x v="34"/>
    <n v="1256.06"/>
    <x v="0"/>
    <x v="2"/>
  </r>
  <r>
    <s v="A187"/>
    <s v="P027"/>
    <s v="D003"/>
    <x v="146"/>
    <d v="1899-12-30T12:30:00"/>
    <s v="Consultation"/>
    <x v="0"/>
    <x v="4"/>
    <s v="Standard procedure"/>
    <n v="806.78"/>
    <d v="2023-02-13T00:00:00"/>
    <x v="3"/>
    <s v="Moore"/>
    <s v="F"/>
    <d v="1998-06-29T00:00:00"/>
    <n v="8724518272"/>
    <s v="321 Maple Dr"/>
    <n v="44423"/>
    <x v="3"/>
    <s v="INS467654"/>
    <s v="Jane"/>
    <s v="Smith"/>
    <x v="0"/>
    <n v="8737740598"/>
    <n v="19"/>
    <x v="1"/>
    <m/>
    <s v="T059"/>
    <x v="32"/>
    <n v="929.91"/>
    <x v="2"/>
    <x v="0"/>
  </r>
  <r>
    <s v="A188"/>
    <s v="P002"/>
    <s v="D002"/>
    <x v="143"/>
    <d v="1899-12-30T16:30:00"/>
    <s v="Follow-up"/>
    <x v="2"/>
    <x v="0"/>
    <s v="Advanced protocol"/>
    <n v="616.15"/>
    <d v="2023-04-12T00:00:00"/>
    <x v="1"/>
    <s v="Smith"/>
    <s v="F"/>
    <d v="1984-10-12T00:00:00"/>
    <n v="8228188767"/>
    <s v="321 Maple Dr"/>
    <n v="44576"/>
    <x v="2"/>
    <s v="INS354079"/>
    <s v="Jane"/>
    <s v="Davis"/>
    <x v="0"/>
    <n v="9004382050"/>
    <n v="24"/>
    <x v="1"/>
    <m/>
    <s v="T055"/>
    <x v="31"/>
    <n v="1736.63"/>
    <x v="2"/>
    <x v="2"/>
  </r>
  <r>
    <s v="A189"/>
    <s v="P005"/>
    <s v="D010"/>
    <x v="147"/>
    <d v="1899-12-30T13:30:00"/>
    <s v="Follow-up"/>
    <x v="0"/>
    <x v="4"/>
    <s v="Advanced protocol"/>
    <n v="1108.25"/>
    <d v="2023-10-05T00:00:00"/>
    <x v="4"/>
    <s v="Wilson"/>
    <s v="M"/>
    <d v="1960-06-23T00:00:00"/>
    <n v="7734463155"/>
    <s v="123 Elm St"/>
    <n v="44468"/>
    <x v="1"/>
    <s v="INS788105"/>
    <s v="Linda"/>
    <s v="Wilson"/>
    <x v="1"/>
    <n v="6176383634"/>
    <n v="21"/>
    <x v="1"/>
    <m/>
    <s v="T010"/>
    <x v="9"/>
    <n v="1595.67"/>
    <x v="2"/>
    <x v="1"/>
  </r>
  <r>
    <s v="A190"/>
    <s v="P029"/>
    <s v="D003"/>
    <x v="148"/>
    <d v="1899-12-30T15:15:00"/>
    <s v="Checkup"/>
    <x v="0"/>
    <x v="0"/>
    <s v="Advanced protocol"/>
    <n v="4834.0200000000004"/>
    <d v="2023-11-16T00:00:00"/>
    <x v="4"/>
    <s v="Smith"/>
    <s v="M"/>
    <d v="2005-05-15T00:00:00"/>
    <n v="8923607677"/>
    <s v="789 Pine Rd"/>
    <n v="45035"/>
    <x v="3"/>
    <s v="INS630089"/>
    <s v="Jane"/>
    <s v="Smith"/>
    <x v="0"/>
    <n v="8737740598"/>
    <n v="19"/>
    <x v="1"/>
    <m/>
    <s v="T012"/>
    <x v="11"/>
    <n v="771.2"/>
    <x v="0"/>
    <x v="0"/>
  </r>
  <r>
    <s v="A191"/>
    <s v="P037"/>
    <s v="D003"/>
    <x v="143"/>
    <d v="1899-12-30T16:00:00"/>
    <s v="Consultation"/>
    <x v="2"/>
    <x v="4"/>
    <s v="Standard procedure"/>
    <n v="2972.88"/>
    <d v="2023-04-12T00:00:00"/>
    <x v="2"/>
    <s v="Williams"/>
    <s v="M"/>
    <d v="1999-02-05T00:00:00"/>
    <n v="8886800195"/>
    <s v="456 Oak Ave"/>
    <n v="44469"/>
    <x v="3"/>
    <s v="INS319963"/>
    <s v="Jane"/>
    <s v="Smith"/>
    <x v="0"/>
    <n v="8737740598"/>
    <n v="19"/>
    <x v="1"/>
    <m/>
    <s v="T017"/>
    <x v="15"/>
    <n v="1655.49"/>
    <x v="1"/>
    <x v="0"/>
  </r>
  <r>
    <s v="A192"/>
    <s v="P038"/>
    <s v="D005"/>
    <x v="149"/>
    <d v="1899-12-30T14:15:00"/>
    <s v="Consultation"/>
    <x v="2"/>
    <x v="3"/>
    <s v="Standard procedure"/>
    <n v="4846.2"/>
    <d v="2023-08-31T00:00:00"/>
    <x v="4"/>
    <s v="Smith"/>
    <s v="M"/>
    <d v="1991-06-25T00:00:00"/>
    <n v="6347262390"/>
    <s v="789 Pine Rd"/>
    <n v="44305"/>
    <x v="1"/>
    <s v="INS580761"/>
    <s v="Sarah"/>
    <s v="Taylor"/>
    <x v="2"/>
    <n v="9118538547"/>
    <n v="26"/>
    <x v="0"/>
    <m/>
    <s v="T179"/>
    <x v="45"/>
    <n v="2691.78"/>
    <x v="2"/>
    <x v="2"/>
  </r>
  <r>
    <s v="A193"/>
    <s v="P019"/>
    <s v="D005"/>
    <x v="150"/>
    <d v="1899-12-30T08:15:00"/>
    <s v="Therapy"/>
    <x v="2"/>
    <x v="3"/>
    <s v="Advanced protocol"/>
    <n v="2446.2399999999998"/>
    <d v="2023-09-15T00:00:00"/>
    <x v="9"/>
    <s v="Miller"/>
    <s v="M"/>
    <d v="1975-05-24T00:00:00"/>
    <n v="8618058864"/>
    <s v="789 Pine Rd"/>
    <n v="45101"/>
    <x v="0"/>
    <s v="INS855073"/>
    <s v="Sarah"/>
    <s v="Taylor"/>
    <x v="2"/>
    <n v="9118538547"/>
    <n v="26"/>
    <x v="0"/>
    <m/>
    <s v="T046"/>
    <x v="28"/>
    <n v="1526.36"/>
    <x v="2"/>
    <x v="1"/>
  </r>
  <r>
    <s v="A194"/>
    <s v="P008"/>
    <s v="D002"/>
    <x v="151"/>
    <d v="1899-12-30T12:45:00"/>
    <s v="Therapy"/>
    <x v="0"/>
    <x v="3"/>
    <s v="Standard procedure"/>
    <n v="1903.17"/>
    <d v="2023-04-06T00:00:00"/>
    <x v="4"/>
    <s v="Davis"/>
    <s v="F"/>
    <d v="1976-07-05T00:00:00"/>
    <n v="7090558393"/>
    <s v="456 Oak Ave"/>
    <n v="44341"/>
    <x v="0"/>
    <s v="INS545101"/>
    <s v="Jane"/>
    <s v="Davis"/>
    <x v="0"/>
    <n v="9004382050"/>
    <n v="24"/>
    <x v="1"/>
    <m/>
    <s v="T088"/>
    <x v="40"/>
    <n v="1733.72"/>
    <x v="2"/>
    <x v="1"/>
  </r>
  <r>
    <s v="A195"/>
    <s v="P048"/>
    <s v="D010"/>
    <x v="152"/>
    <d v="1899-12-30T17:15:00"/>
    <s v="Checkup"/>
    <x v="0"/>
    <x v="2"/>
    <s v="Standard procedure"/>
    <n v="2777.64"/>
    <d v="2023-08-19T00:00:00"/>
    <x v="1"/>
    <s v="Miller"/>
    <s v="M"/>
    <d v="1983-03-24T00:00:00"/>
    <n v="8720989381"/>
    <s v="123 Elm St"/>
    <n v="45096"/>
    <x v="2"/>
    <s v="INS694319"/>
    <s v="Linda"/>
    <s v="Wilson"/>
    <x v="1"/>
    <n v="6176383634"/>
    <n v="21"/>
    <x v="1"/>
    <m/>
    <s v="T003"/>
    <x v="2"/>
    <n v="3731.55"/>
    <x v="0"/>
    <x v="1"/>
  </r>
  <r>
    <s v="A196"/>
    <s v="P045"/>
    <s v="D006"/>
    <x v="153"/>
    <d v="1899-12-30T09:45:00"/>
    <s v="Checkup"/>
    <x v="2"/>
    <x v="0"/>
    <s v="Advanced protocol"/>
    <n v="2477.8000000000002"/>
    <d v="2023-10-26T00:00:00"/>
    <x v="3"/>
    <s v="Miller"/>
    <s v="F"/>
    <d v="1966-04-25T00:00:00"/>
    <n v="7579616535"/>
    <s v="321 Maple Dr"/>
    <n v="44219"/>
    <x v="1"/>
    <s v="INS701863"/>
    <s v="Alex"/>
    <s v="Davis"/>
    <x v="0"/>
    <n v="6570137231"/>
    <n v="23"/>
    <x v="0"/>
    <m/>
    <s v="T006"/>
    <x v="5"/>
    <n v="1381"/>
    <x v="0"/>
    <x v="0"/>
  </r>
  <r>
    <s v="A197"/>
    <s v="P001"/>
    <s v="D005"/>
    <x v="154"/>
    <d v="1899-12-30T13:30:00"/>
    <s v="Emergency"/>
    <x v="1"/>
    <x v="3"/>
    <s v="Standard procedure"/>
    <n v="975.49"/>
    <d v="2023-04-01T00:00:00"/>
    <x v="4"/>
    <s v="Williams"/>
    <s v="F"/>
    <d v="1955-06-04T00:00:00"/>
    <n v="6939585183"/>
    <s v="789 Pine Rd"/>
    <n v="44735"/>
    <x v="0"/>
    <s v="INS840674"/>
    <s v="Sarah"/>
    <s v="Taylor"/>
    <x v="2"/>
    <n v="9118538547"/>
    <n v="26"/>
    <x v="0"/>
    <m/>
    <s v="T007"/>
    <x v="6"/>
    <n v="534.03"/>
    <x v="2"/>
    <x v="2"/>
  </r>
  <r>
    <s v="A198"/>
    <s v="P022"/>
    <s v="D006"/>
    <x v="155"/>
    <d v="1899-12-30T08:30:00"/>
    <s v="Therapy"/>
    <x v="1"/>
    <x v="2"/>
    <s v="Basic screening"/>
    <n v="3383.72"/>
    <d v="2023-05-15T00:00:00"/>
    <x v="7"/>
    <s v="Brown"/>
    <s v="M"/>
    <d v="1955-05-10T00:00:00"/>
    <n v="6221099573"/>
    <s v="321 Maple Dr"/>
    <n v="44327"/>
    <x v="1"/>
    <s v="INS258823"/>
    <s v="Alex"/>
    <s v="Davis"/>
    <x v="0"/>
    <n v="6570137231"/>
    <n v="23"/>
    <x v="0"/>
    <m/>
    <s v="T011"/>
    <x v="10"/>
    <n v="4671.66"/>
    <x v="2"/>
    <x v="2"/>
  </r>
  <r>
    <s v="A199"/>
    <s v="P017"/>
    <s v="D001"/>
    <x v="156"/>
    <d v="1899-12-30T12:45:00"/>
    <s v="Follow-up"/>
    <x v="3"/>
    <x v="0"/>
    <s v="Basic screening"/>
    <n v="1472.17"/>
    <d v="2023-05-01T00:00:00"/>
    <x v="6"/>
    <s v="Jones"/>
    <s v="M"/>
    <d v="1991-05-01T00:00:00"/>
    <n v="6158428240"/>
    <s v="456 Oak Ave"/>
    <n v="44830"/>
    <x v="0"/>
    <s v="INS182074"/>
    <s v="David"/>
    <s v="Taylor"/>
    <x v="2"/>
    <n v="8322010158"/>
    <n v="17"/>
    <x v="2"/>
    <m/>
    <s v="T086"/>
    <x v="39"/>
    <n v="3759.52"/>
    <x v="2"/>
    <x v="0"/>
  </r>
  <r>
    <s v="A200"/>
    <s v="P007"/>
    <s v="D005"/>
    <x v="157"/>
    <d v="1899-12-30T10:15:00"/>
    <s v="Consultation"/>
    <x v="2"/>
    <x v="4"/>
    <s v="Basic screening"/>
    <n v="3288.15"/>
    <d v="2023-12-30T00:00:00"/>
    <x v="0"/>
    <s v="Johnson"/>
    <s v="F"/>
    <d v="1989-06-08T00:00:00"/>
    <n v="6278710077"/>
    <s v="789 Pine Rd"/>
    <n v="44555"/>
    <x v="1"/>
    <s v="INS465890"/>
    <s v="Sarah"/>
    <s v="Taylor"/>
    <x v="2"/>
    <n v="9118538547"/>
    <n v="26"/>
    <x v="0"/>
    <m/>
    <s v="T095"/>
    <x v="18"/>
    <n v="2097.48"/>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049F1-B8DF-4A5D-8D85-04CA33C9EFC3}" name="PivotTable3"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location ref="A13:E18" firstHeaderRow="1" firstDataRow="2" firstDataCol="1"/>
  <pivotFields count="34">
    <pivotField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pivotField showAll="0">
      <items count="6">
        <item x="0"/>
        <item x="2"/>
        <item x="1"/>
        <item x="3"/>
        <item x="4"/>
        <item t="default"/>
      </items>
    </pivotField>
    <pivotField showAll="0"/>
    <pivotField dataField="1" numFmtId="164" showAll="0"/>
    <pivotField numFmtId="14" showAll="0"/>
    <pivotField showAll="0">
      <items count="11">
        <item x="0"/>
        <item x="4"/>
        <item x="1"/>
        <item x="6"/>
        <item x="7"/>
        <item x="8"/>
        <item x="3"/>
        <item x="5"/>
        <item x="2"/>
        <item x="9"/>
        <item t="default"/>
      </items>
    </pivotField>
    <pivotField showAll="0"/>
    <pivotField showAll="0"/>
    <pivotField numFmtId="14" showAll="0"/>
    <pivotField showAll="0"/>
    <pivotField showAll="0"/>
    <pivotField showAll="0"/>
    <pivotField showAll="0" sortType="descending">
      <items count="5">
        <item x="0"/>
        <item x="2"/>
        <item x="1"/>
        <item x="3"/>
        <item t="default"/>
      </items>
    </pivotField>
    <pivotField showAll="0"/>
    <pivotField showAll="0"/>
    <pivotField showAll="0"/>
    <pivotField axis="axisRow" showAll="0">
      <items count="4">
        <item x="2"/>
        <item x="1"/>
        <item x="0"/>
        <item t="default"/>
      </items>
    </pivotField>
    <pivotField showAll="0"/>
    <pivotField showAll="0"/>
    <pivotField axis="axisCol" showAll="0">
      <items count="4">
        <item x="0"/>
        <item x="1"/>
        <item x="2"/>
        <item t="default"/>
      </items>
    </pivotField>
    <pivotField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4">
    <i>
      <x/>
    </i>
    <i>
      <x v="1"/>
    </i>
    <i>
      <x v="2"/>
    </i>
    <i t="grand">
      <x/>
    </i>
  </rowItems>
  <colFields count="1">
    <field x="25"/>
  </colFields>
  <colItems count="4">
    <i>
      <x/>
    </i>
    <i>
      <x v="1"/>
    </i>
    <i>
      <x v="2"/>
    </i>
    <i t="grand">
      <x/>
    </i>
  </colItems>
  <dataFields count="1">
    <dataField name="Sum of Cost" fld="9" baseField="0" baseItem="0" numFmtId="164"/>
  </dataFields>
  <chartFormats count="17">
    <chartFormat chart="3" format="47" series="1">
      <pivotArea type="data" outline="0" fieldPosition="0">
        <references count="1">
          <reference field="4294967294" count="1" selected="0">
            <x v="0"/>
          </reference>
        </references>
      </pivotArea>
    </chartFormat>
    <chartFormat chart="0" format="29" series="1">
      <pivotArea type="data" outline="0" fieldPosition="0">
        <references count="1">
          <reference field="4294967294" count="1" selected="0">
            <x v="0"/>
          </reference>
        </references>
      </pivotArea>
    </chartFormat>
    <chartFormat chart="3" format="48" series="1">
      <pivotArea type="data" outline="0" fieldPosition="0">
        <references count="2">
          <reference field="4294967294" count="1" selected="0">
            <x v="0"/>
          </reference>
          <reference field="25" count="1" selected="0">
            <x v="1"/>
          </reference>
        </references>
      </pivotArea>
    </chartFormat>
    <chartFormat chart="3" format="49" series="1">
      <pivotArea type="data" outline="0" fieldPosition="0">
        <references count="2">
          <reference field="4294967294" count="1" selected="0">
            <x v="0"/>
          </reference>
          <reference field="25" count="1" selected="0">
            <x v="2"/>
          </reference>
        </references>
      </pivotArea>
    </chartFormat>
    <chartFormat chart="0" format="30" series="1">
      <pivotArea type="data" outline="0" fieldPosition="0">
        <references count="2">
          <reference field="4294967294" count="1" selected="0">
            <x v="0"/>
          </reference>
          <reference field="25" count="1" selected="0">
            <x v="1"/>
          </reference>
        </references>
      </pivotArea>
    </chartFormat>
    <chartFormat chart="0" format="31" series="1">
      <pivotArea type="data" outline="0" fieldPosition="0">
        <references count="2">
          <reference field="4294967294" count="1" selected="0">
            <x v="0"/>
          </reference>
          <reference field="25" count="1" selected="0">
            <x v="2"/>
          </reference>
        </references>
      </pivotArea>
    </chartFormat>
    <chartFormat chart="3" format="50" series="1">
      <pivotArea type="data" outline="0" fieldPosition="0">
        <references count="2">
          <reference field="4294967294" count="1" selected="0">
            <x v="0"/>
          </reference>
          <reference field="25" count="1" selected="0">
            <x v="0"/>
          </reference>
        </references>
      </pivotArea>
    </chartFormat>
    <chartFormat chart="0" format="32" series="1">
      <pivotArea type="data" outline="0" fieldPosition="0">
        <references count="2">
          <reference field="4294967294" count="1" selected="0">
            <x v="0"/>
          </reference>
          <reference field="25" count="1" selected="0">
            <x v="0"/>
          </reference>
        </references>
      </pivotArea>
    </chartFormat>
    <chartFormat chart="0" format="33">
      <pivotArea type="data" outline="0" fieldPosition="0">
        <references count="3">
          <reference field="4294967294" count="1" selected="0">
            <x v="0"/>
          </reference>
          <reference field="22" count="1" selected="0">
            <x v="0"/>
          </reference>
          <reference field="25" count="1" selected="0">
            <x v="0"/>
          </reference>
        </references>
      </pivotArea>
    </chartFormat>
    <chartFormat chart="0" format="34">
      <pivotArea type="data" outline="0" fieldPosition="0">
        <references count="3">
          <reference field="4294967294" count="1" selected="0">
            <x v="0"/>
          </reference>
          <reference field="22" count="1" selected="0">
            <x v="1"/>
          </reference>
          <reference field="25" count="1" selected="0">
            <x v="0"/>
          </reference>
        </references>
      </pivotArea>
    </chartFormat>
    <chartFormat chart="0" format="35">
      <pivotArea type="data" outline="0" fieldPosition="0">
        <references count="3">
          <reference field="4294967294" count="1" selected="0">
            <x v="0"/>
          </reference>
          <reference field="22" count="1" selected="0">
            <x v="2"/>
          </reference>
          <reference field="25" count="1" selected="0">
            <x v="0"/>
          </reference>
        </references>
      </pivotArea>
    </chartFormat>
    <chartFormat chart="0" format="36">
      <pivotArea type="data" outline="0" fieldPosition="0">
        <references count="3">
          <reference field="4294967294" count="1" selected="0">
            <x v="0"/>
          </reference>
          <reference field="22" count="1" selected="0">
            <x v="0"/>
          </reference>
          <reference field="25" count="1" selected="0">
            <x v="1"/>
          </reference>
        </references>
      </pivotArea>
    </chartFormat>
    <chartFormat chart="0" format="37">
      <pivotArea type="data" outline="0" fieldPosition="0">
        <references count="3">
          <reference field="4294967294" count="1" selected="0">
            <x v="0"/>
          </reference>
          <reference field="22" count="1" selected="0">
            <x v="1"/>
          </reference>
          <reference field="25" count="1" selected="0">
            <x v="1"/>
          </reference>
        </references>
      </pivotArea>
    </chartFormat>
    <chartFormat chart="0" format="38">
      <pivotArea type="data" outline="0" fieldPosition="0">
        <references count="3">
          <reference field="4294967294" count="1" selected="0">
            <x v="0"/>
          </reference>
          <reference field="22" count="1" selected="0">
            <x v="2"/>
          </reference>
          <reference field="25" count="1" selected="0">
            <x v="1"/>
          </reference>
        </references>
      </pivotArea>
    </chartFormat>
    <chartFormat chart="0" format="39">
      <pivotArea type="data" outline="0" fieldPosition="0">
        <references count="3">
          <reference field="4294967294" count="1" selected="0">
            <x v="0"/>
          </reference>
          <reference field="22" count="1" selected="0">
            <x v="0"/>
          </reference>
          <reference field="25" count="1" selected="0">
            <x v="2"/>
          </reference>
        </references>
      </pivotArea>
    </chartFormat>
    <chartFormat chart="0" format="40">
      <pivotArea type="data" outline="0" fieldPosition="0">
        <references count="3">
          <reference field="4294967294" count="1" selected="0">
            <x v="0"/>
          </reference>
          <reference field="22" count="1" selected="0">
            <x v="1"/>
          </reference>
          <reference field="25" count="1" selected="0">
            <x v="2"/>
          </reference>
        </references>
      </pivotArea>
    </chartFormat>
    <chartFormat chart="0" format="41">
      <pivotArea type="data" outline="0" fieldPosition="0">
        <references count="3">
          <reference field="4294967294" count="1" selected="0">
            <x v="0"/>
          </reference>
          <reference field="22" count="1" selected="0">
            <x v="2"/>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6AC60E-B76A-442D-B33D-665146991C77}"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J7:N12" firstHeaderRow="1" firstDataRow="2" firstDataCol="1"/>
  <pivotFields count="34">
    <pivotField dataField="1" showAll="0"/>
    <pivotField showAll="0"/>
    <pivotField showAll="0"/>
    <pivotField numFmtId="14" showAll="0"/>
    <pivotField numFmtId="21" showAll="0"/>
    <pivotField showAll="0"/>
    <pivotField showAll="0"/>
    <pivotField showAll="0">
      <items count="6">
        <item x="0"/>
        <item x="2"/>
        <item x="1"/>
        <item x="3"/>
        <item x="4"/>
        <item t="default"/>
      </items>
    </pivotField>
    <pivotField showAll="0"/>
    <pivotField numFmtId="164" showAll="0"/>
    <pivotField numFmtId="14" showAll="0"/>
    <pivotField showAll="0">
      <items count="11">
        <item x="0"/>
        <item x="4"/>
        <item x="1"/>
        <item x="6"/>
        <item x="7"/>
        <item x="8"/>
        <item x="3"/>
        <item x="5"/>
        <item x="2"/>
        <item x="9"/>
        <item t="default"/>
      </items>
    </pivotField>
    <pivotField showAll="0"/>
    <pivotField showAll="0"/>
    <pivotField numFmtId="14" showAll="0"/>
    <pivotField showAll="0"/>
    <pivotField showAll="0"/>
    <pivotField showAll="0"/>
    <pivotField showAll="0">
      <items count="5">
        <item x="3"/>
        <item x="1"/>
        <item x="2"/>
        <item x="0"/>
        <item t="default"/>
      </items>
    </pivotField>
    <pivotField showAll="0"/>
    <pivotField showAll="0"/>
    <pivotField showAll="0"/>
    <pivotField axis="axisRow" showAll="0">
      <items count="4">
        <item x="2"/>
        <item x="1"/>
        <item x="0"/>
        <item t="default"/>
      </items>
    </pivotField>
    <pivotField showAll="0"/>
    <pivotField showAll="0"/>
    <pivotField axis="axisCol" showAll="0">
      <items count="4">
        <item x="0"/>
        <item x="1"/>
        <item x="2"/>
        <item t="default"/>
      </items>
    </pivotField>
    <pivotField showAll="0"/>
    <pivotField showAll="0"/>
    <pivotField numFmtId="14" showAll="0">
      <items count="47">
        <item x="44"/>
        <item x="24"/>
        <item sd="0"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showAll="0">
      <items count="4">
        <item x="2"/>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4">
    <i>
      <x/>
    </i>
    <i>
      <x v="1"/>
    </i>
    <i>
      <x v="2"/>
    </i>
    <i t="grand">
      <x/>
    </i>
  </rowItems>
  <colFields count="1">
    <field x="25"/>
  </colFields>
  <colItems count="4">
    <i>
      <x/>
    </i>
    <i>
      <x v="1"/>
    </i>
    <i>
      <x v="2"/>
    </i>
    <i t="grand">
      <x/>
    </i>
  </colItems>
  <dataFields count="1">
    <dataField name="Count of Appointment_Id" fld="0" subtotal="count" baseField="0" baseItem="0"/>
  </dataFields>
  <chartFormats count="11">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25" count="1" selected="0">
            <x v="1"/>
          </reference>
        </references>
      </pivotArea>
    </chartFormat>
    <chartFormat chart="3" format="5" series="1">
      <pivotArea type="data" outline="0" fieldPosition="0">
        <references count="2">
          <reference field="4294967294" count="1" selected="0">
            <x v="0"/>
          </reference>
          <reference field="25" count="1" selected="0">
            <x v="2"/>
          </reference>
        </references>
      </pivotArea>
    </chartFormat>
    <chartFormat chart="0" format="2" series="1">
      <pivotArea type="data" outline="0" fieldPosition="0">
        <references count="2">
          <reference field="4294967294" count="1" selected="0">
            <x v="0"/>
          </reference>
          <reference field="25" count="1" selected="0">
            <x v="1"/>
          </reference>
        </references>
      </pivotArea>
    </chartFormat>
    <chartFormat chart="0" format="3" series="1">
      <pivotArea type="data" outline="0" fieldPosition="0">
        <references count="2">
          <reference field="4294967294" count="1" selected="0">
            <x v="0"/>
          </reference>
          <reference field="25" count="1" selected="0">
            <x v="2"/>
          </reference>
        </references>
      </pivotArea>
    </chartFormat>
    <chartFormat chart="12" format="0" series="1">
      <pivotArea type="data" outline="0" fieldPosition="0">
        <references count="2">
          <reference field="4294967294" count="1" selected="0">
            <x v="0"/>
          </reference>
          <reference field="25" count="1" selected="0">
            <x v="0"/>
          </reference>
        </references>
      </pivotArea>
    </chartFormat>
    <chartFormat chart="12" format="1" series="1">
      <pivotArea type="data" outline="0" fieldPosition="0">
        <references count="2">
          <reference field="4294967294" count="1" selected="0">
            <x v="0"/>
          </reference>
          <reference field="25" count="1" selected="0">
            <x v="1"/>
          </reference>
        </references>
      </pivotArea>
    </chartFormat>
    <chartFormat chart="12" format="2" series="1">
      <pivotArea type="data" outline="0" fieldPosition="0">
        <references count="2">
          <reference field="4294967294" count="1" selected="0">
            <x v="0"/>
          </reference>
          <reference field="25" count="1" selected="0">
            <x v="2"/>
          </reference>
        </references>
      </pivotArea>
    </chartFormat>
    <chartFormat chart="3" format="6" series="1">
      <pivotArea type="data" outline="0" fieldPosition="0">
        <references count="2">
          <reference field="4294967294" count="1" selected="0">
            <x v="0"/>
          </reference>
          <reference field="25" count="1" selected="0">
            <x v="0"/>
          </reference>
        </references>
      </pivotArea>
    </chartFormat>
    <chartFormat chart="0" format="4" series="1">
      <pivotArea type="data" outline="0" fieldPosition="0">
        <references count="2">
          <reference field="4294967294" count="1" selected="0">
            <x v="0"/>
          </reference>
          <reference field="2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ADC78-1CAD-4DF7-BB97-1B16BC24C548}" name="PivotTable2"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3">
  <location ref="D6:H12" firstHeaderRow="1" firstDataRow="2" firstDataCol="1"/>
  <pivotFields count="34">
    <pivotField dataField="1" showAll="0"/>
    <pivotField showAll="0"/>
    <pivotField showAll="0"/>
    <pivotField numFmtId="14" showAll="0"/>
    <pivotField numFmtId="21" showAll="0"/>
    <pivotField showAll="0"/>
    <pivotField axis="axisRow" showAll="0">
      <items count="5">
        <item x="2"/>
        <item x="3"/>
        <item x="1"/>
        <item x="0"/>
        <item t="default"/>
      </items>
    </pivotField>
    <pivotField showAll="0">
      <items count="6">
        <item x="0"/>
        <item x="2"/>
        <item x="1"/>
        <item x="3"/>
        <item x="4"/>
        <item t="default"/>
      </items>
    </pivotField>
    <pivotField showAll="0"/>
    <pivotField numFmtId="164" showAll="0"/>
    <pivotField numFmtId="14" showAll="0"/>
    <pivotField showAll="0">
      <items count="11">
        <item x="0"/>
        <item x="4"/>
        <item x="1"/>
        <item x="6"/>
        <item x="7"/>
        <item x="8"/>
        <item x="3"/>
        <item x="5"/>
        <item x="2"/>
        <item x="9"/>
        <item t="default"/>
      </items>
    </pivotField>
    <pivotField showAll="0"/>
    <pivotField showAll="0"/>
    <pivotField numFmtId="14" showAll="0"/>
    <pivotField showAll="0"/>
    <pivotField showAll="0"/>
    <pivotField showAll="0"/>
    <pivotField showAll="0">
      <items count="5">
        <item x="3"/>
        <item x="1"/>
        <item x="2"/>
        <item x="0"/>
        <item t="default"/>
      </items>
    </pivotField>
    <pivotField showAll="0"/>
    <pivotField showAll="0"/>
    <pivotField showAll="0"/>
    <pivotField showAll="0">
      <items count="4">
        <item x="2"/>
        <item x="1"/>
        <item x="0"/>
        <item t="default"/>
      </items>
    </pivotField>
    <pivotField showAll="0"/>
    <pivotField showAll="0"/>
    <pivotField showAll="0">
      <items count="4">
        <item x="0"/>
        <item x="1"/>
        <item x="2"/>
        <item t="default"/>
      </items>
    </pivotField>
    <pivotField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numFmtId="164" showAll="0"/>
    <pivotField axis="axisCol"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30"/>
  </colFields>
  <colItems count="4">
    <i>
      <x/>
    </i>
    <i>
      <x v="1"/>
    </i>
    <i>
      <x v="2"/>
    </i>
    <i t="grand">
      <x/>
    </i>
  </colItems>
  <dataFields count="1">
    <dataField name="Count of Appointment_Id" fld="0" subtotal="count" baseField="0" baseItem="0"/>
  </dataFields>
  <chartFormats count="8">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13" series="1">
      <pivotArea type="data" outline="0" fieldPosition="0">
        <references count="2">
          <reference field="4294967294" count="1" selected="0">
            <x v="0"/>
          </reference>
          <reference field="30" count="1" selected="0">
            <x v="1"/>
          </reference>
        </references>
      </pivotArea>
    </chartFormat>
    <chartFormat chart="3" format="14" series="1">
      <pivotArea type="data" outline="0" fieldPosition="0">
        <references count="2">
          <reference field="4294967294" count="1" selected="0">
            <x v="0"/>
          </reference>
          <reference field="30" count="1" selected="0">
            <x v="2"/>
          </reference>
        </references>
      </pivotArea>
    </chartFormat>
    <chartFormat chart="0" format="7" series="1">
      <pivotArea type="data" outline="0" fieldPosition="0">
        <references count="2">
          <reference field="4294967294" count="1" selected="0">
            <x v="0"/>
          </reference>
          <reference field="30" count="1" selected="0">
            <x v="1"/>
          </reference>
        </references>
      </pivotArea>
    </chartFormat>
    <chartFormat chart="0" format="8" series="1">
      <pivotArea type="data" outline="0" fieldPosition="0">
        <references count="2">
          <reference field="4294967294" count="1" selected="0">
            <x v="0"/>
          </reference>
          <reference field="30" count="1" selected="0">
            <x v="2"/>
          </reference>
        </references>
      </pivotArea>
    </chartFormat>
    <chartFormat chart="3" format="15" series="1">
      <pivotArea type="data" outline="0" fieldPosition="0">
        <references count="2">
          <reference field="4294967294" count="1" selected="0">
            <x v="0"/>
          </reference>
          <reference field="30" count="1" selected="0">
            <x v="0"/>
          </reference>
        </references>
      </pivotArea>
    </chartFormat>
    <chartFormat chart="0" format="9" series="1">
      <pivotArea type="data" outline="0" fieldPosition="0">
        <references count="2">
          <reference field="4294967294" count="1" selected="0">
            <x v="0"/>
          </reference>
          <reference field="3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97CFDE-7AD7-41A8-AF64-90DD5DFEC114}"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3:B7" firstHeaderRow="1" firstDataRow="1" firstDataCol="1"/>
  <pivotFields count="34">
    <pivotField showAll="0"/>
    <pivotField showAll="0"/>
    <pivotField showAll="0"/>
    <pivotField numFmtId="14" showAll="0">
      <items count="159">
        <item x="38"/>
        <item h="1" x="52"/>
        <item h="1" x="124"/>
        <item h="1" x="118"/>
        <item h="1" x="73"/>
        <item h="1" x="141"/>
        <item h="1" x="33"/>
        <item h="1" x="95"/>
        <item h="1" x="130"/>
        <item h="1" x="9"/>
        <item h="1" x="14"/>
        <item h="1" x="45"/>
        <item h="1" x="139"/>
        <item h="1" x="74"/>
        <item h="1" x="89"/>
        <item h="1" x="63"/>
        <item h="1" x="120"/>
        <item h="1" x="81"/>
        <item h="1" x="144"/>
        <item h="1" x="47"/>
        <item h="1" x="114"/>
        <item h="1" x="18"/>
        <item h="1" x="49"/>
        <item h="1" x="146"/>
        <item h="1" x="78"/>
        <item h="1" x="76"/>
        <item h="1" x="35"/>
        <item h="1" x="23"/>
        <item h="1" x="145"/>
        <item h="1" x="102"/>
        <item h="1" x="86"/>
        <item h="1" x="134"/>
        <item h="1" x="8"/>
        <item h="1" x="123"/>
        <item h="1" x="140"/>
        <item h="1" x="54"/>
        <item h="1" x="61"/>
        <item h="1" x="103"/>
        <item h="1" x="24"/>
        <item h="1" x="39"/>
        <item h="1" x="109"/>
        <item h="1" x="37"/>
        <item h="1" x="34"/>
        <item h="1" x="40"/>
        <item h="1" x="154"/>
        <item h="1" x="28"/>
        <item h="1" x="151"/>
        <item h="1" x="101"/>
        <item h="1" x="82"/>
        <item h="1" x="6"/>
        <item h="1" x="143"/>
        <item h="1" x="121"/>
        <item h="1" x="53"/>
        <item h="1" x="36"/>
        <item h="1" x="32"/>
        <item h="1" x="91"/>
        <item h="1" x="20"/>
        <item h="1" x="138"/>
        <item h="1" x="46"/>
        <item h="1" x="156"/>
        <item h="1" x="44"/>
        <item h="1" x="84"/>
        <item h="1" x="11"/>
        <item h="1" x="67"/>
        <item h="1" x="21"/>
        <item h="1" x="59"/>
        <item h="1" x="107"/>
        <item h="1" x="125"/>
        <item h="1" x="112"/>
        <item h="1" x="155"/>
        <item h="1" x="94"/>
        <item h="1" x="7"/>
        <item h="1" x="13"/>
        <item h="1" x="58"/>
        <item h="1" x="79"/>
        <item h="1" x="135"/>
        <item h="1" x="1"/>
        <item h="1" x="80"/>
        <item h="1" x="64"/>
        <item h="1" x="31"/>
        <item h="1" x="56"/>
        <item h="1" x="115"/>
        <item h="1" x="127"/>
        <item h="1" x="5"/>
        <item h="1" x="98"/>
        <item h="1" x="22"/>
        <item h="1" x="26"/>
        <item h="1" x="72"/>
        <item h="1" x="128"/>
        <item h="1" x="2"/>
        <item h="1" x="57"/>
        <item h="1" x="15"/>
        <item h="1" x="85"/>
        <item h="1" x="4"/>
        <item h="1" x="83"/>
        <item h="1" x="122"/>
        <item h="1" x="16"/>
        <item h="1" x="48"/>
        <item h="1" x="93"/>
        <item h="1" x="66"/>
        <item h="1" x="133"/>
        <item h="1" x="108"/>
        <item h="1" x="129"/>
        <item h="1" x="92"/>
        <item h="1" x="97"/>
        <item h="1" x="0"/>
        <item h="1" x="60"/>
        <item h="1" x="90"/>
        <item h="1" x="12"/>
        <item h="1" x="152"/>
        <item h="1" x="106"/>
        <item h="1" x="62"/>
        <item h="1" x="27"/>
        <item h="1" x="149"/>
        <item h="1" x="3"/>
        <item h="1" x="142"/>
        <item h="1" x="111"/>
        <item h="1" x="150"/>
        <item h="1" x="70"/>
        <item h="1" x="41"/>
        <item h="1" x="87"/>
        <item h="1" x="30"/>
        <item h="1" x="42"/>
        <item h="1" x="132"/>
        <item h="1" x="147"/>
        <item h="1" x="51"/>
        <item h="1" x="113"/>
        <item h="1" x="110"/>
        <item h="1" x="77"/>
        <item h="1" x="137"/>
        <item h="1" x="88"/>
        <item h="1" x="153"/>
        <item h="1" x="25"/>
        <item h="1" x="136"/>
        <item h="1" x="116"/>
        <item h="1" x="104"/>
        <item h="1" x="29"/>
        <item h="1" x="75"/>
        <item h="1" x="117"/>
        <item h="1" x="10"/>
        <item h="1" x="105"/>
        <item h="1" x="17"/>
        <item h="1" x="131"/>
        <item h="1" x="148"/>
        <item h="1" x="55"/>
        <item h="1" x="96"/>
        <item h="1" x="68"/>
        <item h="1" x="19"/>
        <item h="1" x="119"/>
        <item h="1" x="100"/>
        <item h="1" x="69"/>
        <item h="1" x="50"/>
        <item h="1" x="126"/>
        <item h="1" x="99"/>
        <item h="1" x="43"/>
        <item h="1" x="65"/>
        <item h="1" x="71"/>
        <item h="1" x="157"/>
        <item t="default"/>
      </items>
    </pivotField>
    <pivotField numFmtId="21" showAll="0"/>
    <pivotField showAll="0"/>
    <pivotField showAll="0"/>
    <pivotField showAll="0">
      <items count="6">
        <item x="0"/>
        <item x="2"/>
        <item x="1"/>
        <item x="3"/>
        <item x="4"/>
        <item t="default"/>
      </items>
    </pivotField>
    <pivotField showAll="0"/>
    <pivotField numFmtId="164" showAll="0"/>
    <pivotField numFmtId="14" showAll="0"/>
    <pivotField showAll="0">
      <items count="11">
        <item x="0"/>
        <item x="4"/>
        <item x="1"/>
        <item x="6"/>
        <item x="7"/>
        <item x="8"/>
        <item x="3"/>
        <item x="5"/>
        <item x="2"/>
        <item x="9"/>
        <item t="default"/>
      </items>
    </pivotField>
    <pivotField showAll="0"/>
    <pivotField showAll="0"/>
    <pivotField numFmtId="1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4" showAll="0">
      <items count="47">
        <item x="44"/>
        <item x="24"/>
        <item x="9"/>
        <item x="14"/>
        <item x="29"/>
        <item x="30"/>
        <item x="20"/>
        <item x="8"/>
        <item x="45"/>
        <item x="32"/>
        <item x="21"/>
        <item x="26"/>
        <item x="41"/>
        <item x="6"/>
        <item x="25"/>
        <item x="23"/>
        <item x="17"/>
        <item x="40"/>
        <item x="11"/>
        <item x="18"/>
        <item x="7"/>
        <item x="13"/>
        <item x="35"/>
        <item x="1"/>
        <item x="5"/>
        <item x="19"/>
        <item x="2"/>
        <item x="34"/>
        <item x="42"/>
        <item x="4"/>
        <item x="15"/>
        <item x="43"/>
        <item x="0"/>
        <item x="36"/>
        <item x="12"/>
        <item x="3"/>
        <item x="38"/>
        <item x="27"/>
        <item x="22"/>
        <item x="31"/>
        <item x="39"/>
        <item x="10"/>
        <item x="33"/>
        <item x="37"/>
        <item x="16"/>
        <item x="28"/>
        <item t="default"/>
      </items>
    </pivotField>
    <pivotField dataField="1" numFmtId="164" showAll="0"/>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5"/>
  </rowFields>
  <rowItems count="4">
    <i>
      <x/>
    </i>
    <i>
      <x v="1"/>
    </i>
    <i>
      <x v="2"/>
    </i>
    <i t="grand">
      <x/>
    </i>
  </rowItems>
  <colItems count="1">
    <i/>
  </colItems>
  <dataFields count="1">
    <dataField name="Sum of Amount" fld="2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1EAFD526-A188-4350-989E-C6CF1C2D2AD0}" sourceName="Treatment_Type">
  <pivotTables>
    <pivotTable tabId="2" name="PivotTable1"/>
    <pivotTable tabId="2" name="PivotTable2"/>
    <pivotTable tabId="2" name="PivotTable3"/>
    <pivotTable tabId="2" name="PivotTable5"/>
  </pivotTables>
  <data>
    <tabular pivotCacheId="112304147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Name" xr10:uid="{4B9DBA4B-2B9B-402B-9577-2E9353622022}" sourceName="First_Name">
  <pivotTables>
    <pivotTable tabId="2" name="PivotTable5"/>
    <pivotTable tabId="2" name="PivotTable1"/>
    <pivotTable tabId="2" name="PivotTable2"/>
    <pivotTable tabId="2" name="PivotTable3"/>
  </pivotTables>
  <data>
    <tabular pivotCacheId="1123041475">
      <items count="10">
        <i x="0" s="1"/>
        <i x="4" s="1"/>
        <i x="1" s="1"/>
        <i x="6" s="1"/>
        <i x="7" s="1"/>
        <i x="8" s="1"/>
        <i x="3" s="1"/>
        <i x="5" s="1"/>
        <i x="2"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4ACFFE5-6D11-41E4-A796-55EDBF3D4730}" sourceName="Payment_Method">
  <pivotTables>
    <pivotTable tabId="2" name="PivotTable2"/>
    <pivotTable tabId="2" name="PivotTable1"/>
    <pivotTable tabId="2" name="PivotTable3"/>
    <pivotTable tabId="2" name="PivotTable5"/>
  </pivotTables>
  <data>
    <tabular pivotCacheId="112304147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963310AC-B44B-4B6F-A09A-F7B87E788D87}" sourceName="Insurance_Provider">
  <pivotTables>
    <pivotTable tabId="2" name="PivotTable2"/>
    <pivotTable tabId="2" name="PivotTable1"/>
    <pivotTable tabId="2" name="PivotTable3"/>
    <pivotTable tabId="2" name="PivotTable5"/>
  </pivotTables>
  <data>
    <tabular pivotCacheId="1123041475">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_Type" xr10:uid="{CF0B2092-0219-46DB-AE6B-FF95CB0EECF1}" cache="Slicer_Treatment_Type" caption="Treatment_Type" rowHeight="234950"/>
  <slicer name="First_Name" xr10:uid="{2C6078BD-31A1-404D-A872-5071B91038B7}" cache="Slicer_First_Name" caption="First_Name" rowHeight="234950"/>
  <slicer name="Payment_Method" xr10:uid="{B21A3E19-F4E6-4E89-BF2D-DE4B3F38F26D}" cache="Slicer_Payment_Method" caption="Payment_Method" rowHeight="234950"/>
  <slicer name="Insurance_Provider" xr10:uid="{B8204374-AC9C-4518-A696-CFFA97871F59}" cache="Slicer_Insurance_Provider" caption="Insurance_Provi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_Type 1" xr10:uid="{94ADA175-3DBA-4E5D-8519-A5416A2BFC1A}" cache="Slicer_Treatment_Type" caption="Treatment_Type" style="SlicerStyleLight6" rowHeight="180000"/>
  <slicer name="First_Name 1" xr10:uid="{58C18B12-08BC-4E60-85D5-E2E0EDF5DEB2}" cache="Slicer_First_Name" caption="First_Name" style="SlicerStyleLight6" rowHeight="144000"/>
  <slicer name="Payment_Method 1" xr10:uid="{61F70CFC-D447-4DE6-AE74-E6DD85A2DF0F}" cache="Slicer_Payment_Method" caption="Payment_Method" style="SlicerStyleLight6" rowHeight="234950"/>
  <slicer name="Insurance_Provider 1" xr10:uid="{ADDFEA74-C7D2-4665-940B-355207077032}" cache="Slicer_Insurance_Provider" caption="Insurance_Provider"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B5F6D7-67D9-4810-85E8-81F93838769D}" name="Table3" displayName="Table3" ref="A1:F201" totalsRowShown="0">
  <autoFilter ref="A1:F201" xr:uid="{07B5F6D7-67D9-4810-85E8-81F93838769D}"/>
  <tableColumns count="6">
    <tableColumn id="1" xr3:uid="{30D0A498-A304-4E89-98F2-27B9BBB91570}" name="treatment_id"/>
    <tableColumn id="2" xr3:uid="{5F072CE7-BE77-46F5-B2F1-4EA185BDED01}" name="appointment_id"/>
    <tableColumn id="3" xr3:uid="{D2F2B989-700D-4247-B90A-791D499911D9}" name="treatment_type"/>
    <tableColumn id="4" xr3:uid="{B51CFE5C-2238-4741-8B40-A489453A834A}" name="description"/>
    <tableColumn id="5" xr3:uid="{41A4E5EA-6FB3-441E-9DE0-58CFAEC3EC63}" name="cost"/>
    <tableColumn id="6" xr3:uid="{D5747940-F718-4F68-B46D-C9FB0E212A8C}" name="treatment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593E23-E30B-4DD9-B9A3-8B0A3BE66CC1}" name="Table4" displayName="Table4" ref="A1:K51" totalsRowShown="0">
  <autoFilter ref="A1:K51" xr:uid="{81593E23-E30B-4DD9-B9A3-8B0A3BE66CC1}"/>
  <tableColumns count="11">
    <tableColumn id="1" xr3:uid="{BF7E59EE-0A62-43FA-9B56-9CC88A944A5C}" name="patient_id"/>
    <tableColumn id="2" xr3:uid="{5CB9281E-019F-4817-893E-685755AC0E5A}" name="first_name"/>
    <tableColumn id="3" xr3:uid="{F2A6ADE4-5672-4495-8566-3A334DAE3A7D}" name="last_name"/>
    <tableColumn id="4" xr3:uid="{EB88D737-35F1-4AAF-8A8C-45E3F25A1A00}" name="gender"/>
    <tableColumn id="5" xr3:uid="{F158112B-25C7-4092-87CA-10E1330E63E9}" name="date_of_birth" dataDxfId="2"/>
    <tableColumn id="6" xr3:uid="{E7BB702C-2D45-41BC-B693-F2B4961C994A}" name="contact_number"/>
    <tableColumn id="7" xr3:uid="{CEBD042E-001D-4D5D-BDAB-8829207EC1B2}" name="address"/>
    <tableColumn id="8" xr3:uid="{31842025-50DA-4581-904C-B5898890C796}" name="registration_date" dataDxfId="1"/>
    <tableColumn id="9" xr3:uid="{C9A0E55A-A721-4F7F-92AD-7CF000449722}" name="insurance_provider"/>
    <tableColumn id="10" xr3:uid="{1FD9BF56-B439-44A8-9A7C-41B43A28AA50}" name="insurance_number"/>
    <tableColumn id="11" xr3:uid="{EF6779A0-4689-439E-93E9-6211C20F8D35}" name="emai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1A808F-0A12-40F9-A0B5-DF96F0A461B4}" name="Table5" displayName="Table5" ref="A1:H11" totalsRowShown="0">
  <autoFilter ref="A1:H11" xr:uid="{341A808F-0A12-40F9-A0B5-DF96F0A461B4}"/>
  <tableColumns count="8">
    <tableColumn id="1" xr3:uid="{7A737FA6-2584-4427-8501-95BE25B21396}" name="doctor_id"/>
    <tableColumn id="2" xr3:uid="{FDD4EE31-0FAB-4B88-87F1-48549A3FEAC7}" name="first_name"/>
    <tableColumn id="3" xr3:uid="{EFDDA2B4-587D-4DCC-A0B4-6CB9F8F3FF8E}" name="last_name"/>
    <tableColumn id="4" xr3:uid="{E8B73FF9-355A-4C16-BD07-92408CF8183A}" name="specialization"/>
    <tableColumn id="5" xr3:uid="{9B77756D-A014-470A-9574-B89499718781}" name="phone_number"/>
    <tableColumn id="6" xr3:uid="{7CFF9566-FEBF-4DC4-97A4-9302F46B6660}" name="years_experience"/>
    <tableColumn id="7" xr3:uid="{A5DD5DB6-61D8-4308-815B-50D55F4F5177}" name="hospital_branch"/>
    <tableColumn id="8" xr3:uid="{60CBBC9D-6BC3-4C50-A564-166051B9112A}" name="emai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12DE6C-34D4-471A-A4BF-F745A9A633A6}" name="Table6" displayName="Table6" ref="A1:G201" totalsRowShown="0">
  <autoFilter ref="A1:G201" xr:uid="{9412DE6C-34D4-471A-A4BF-F745A9A633A6}"/>
  <tableColumns count="7">
    <tableColumn id="1" xr3:uid="{5FC45C6E-F5B6-4CD9-A531-50C182EEEE8D}" name="bill_id"/>
    <tableColumn id="2" xr3:uid="{7628617A-3BFA-41D9-BA74-57FD27531390}" name="patient_id"/>
    <tableColumn id="3" xr3:uid="{7088458F-A4DA-4649-A20B-9A96BA3A4B67}" name="treatment_id"/>
    <tableColumn id="4" xr3:uid="{BF7ABD96-25FF-43D9-9791-241F5154EA68}" name="bill_date" dataDxfId="0"/>
    <tableColumn id="5" xr3:uid="{27CDABED-5F4F-418E-8045-45CAE095EA0C}" name="amount"/>
    <tableColumn id="6" xr3:uid="{9314520D-AB9D-478E-81A4-A300180D9BE9}" name="payment_method"/>
    <tableColumn id="7" xr3:uid="{57F06946-811A-4894-9FA5-272D9EBAC6E4}" name="payment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4543DA-5FC6-4673-87D5-594B579A982A}" name="Table1" displayName="Table1" ref="A1:AE201" totalsRowShown="0">
  <autoFilter ref="A1:AE201" xr:uid="{EA4543DA-5FC6-4673-87D5-594B579A982A}"/>
  <tableColumns count="31">
    <tableColumn id="1" xr3:uid="{C50CB017-3423-40FF-B521-1BF45FC3C483}" name="Appointment_Id"/>
    <tableColumn id="2" xr3:uid="{4FA874B0-359F-4686-8D2C-FB2827AD3AC7}" name="Patient_Id"/>
    <tableColumn id="3" xr3:uid="{35C6314D-480D-4D86-A15F-8D3EC18128B6}" name="Doctor_Id"/>
    <tableColumn id="4" xr3:uid="{D1FF627D-D038-41EC-BE78-5C4F6D21D4C3}" name="Appointment_Date" dataDxfId="9"/>
    <tableColumn id="5" xr3:uid="{0AE7EB73-76E5-4A67-8DF8-9CEEFCD07F73}" name="Appointment_Time" dataDxfId="8"/>
    <tableColumn id="6" xr3:uid="{24BBF281-A2E9-4EA9-A4FD-C59AC919467F}" name="Reason_For_Visit"/>
    <tableColumn id="7" xr3:uid="{8692FEDE-9FDE-400A-BE3E-882796D153EB}" name="Status"/>
    <tableColumn id="8" xr3:uid="{B008FE1E-1783-4505-9F1B-7CBBFFAC2BBB}" name="Treatment_Type"/>
    <tableColumn id="9" xr3:uid="{60AC6234-DBCD-41EB-8B53-EC732B7E7764}" name="Description"/>
    <tableColumn id="10" xr3:uid="{81B0A267-6C31-4367-93E0-43B594AD9865}" name="Cost" dataDxfId="7"/>
    <tableColumn id="11" xr3:uid="{3ADBDB4F-F66B-4C66-A352-B89174789922}" name="Treatment_Date" dataDxfId="6"/>
    <tableColumn id="12" xr3:uid="{E1BD77DC-AC09-43C9-B62A-8A1AF4FE675D}" name="First_Name"/>
    <tableColumn id="13" xr3:uid="{9D69BDC0-4A6A-4D80-A9EF-20D4C4A77B5C}" name="Last_Name"/>
    <tableColumn id="14" xr3:uid="{AD7F6ADA-7776-477A-B0DA-0B8933BF7937}" name="Gender"/>
    <tableColumn id="15" xr3:uid="{AB617C5C-D091-4E27-8912-5DA0120AE9DD}" name="Date_Of_Birth" dataDxfId="5"/>
    <tableColumn id="16" xr3:uid="{807F288B-D344-400D-A2A1-5B0780149032}" name="Contact_Number"/>
    <tableColumn id="17" xr3:uid="{DEBBA175-76A6-471D-87B2-779BF1C1C0F7}" name="Address"/>
    <tableColumn id="18" xr3:uid="{FE28534C-5C62-44E1-9E98-815B5A575A22}" name="Registration_Date"/>
    <tableColumn id="19" xr3:uid="{88858B35-E557-4FF7-8165-1C381A53547E}" name="Insurance_Provider"/>
    <tableColumn id="20" xr3:uid="{1E07F2BF-79AC-4C54-9897-BB1B4AF59EB6}" name="Insurance_Number"/>
    <tableColumn id="21" xr3:uid="{08ACDFFE-1D5F-4BD8-8AB0-14F128B889F7}" name="First_Name2"/>
    <tableColumn id="22" xr3:uid="{1F1609F5-FE11-489F-8C6E-EF650702F2D7}" name="Last_Name3"/>
    <tableColumn id="23" xr3:uid="{FF5E58AB-FF6D-4FC5-B902-0D7389B7ACC6}" name="Specialization"/>
    <tableColumn id="24" xr3:uid="{002AF1B7-9F23-48F6-9F83-5ECC588621FF}" name="Phone_Number"/>
    <tableColumn id="25" xr3:uid="{74C1E7F4-57EA-459A-80A4-BB5AB19A9537}" name="Years_Experience"/>
    <tableColumn id="26" xr3:uid="{D1441079-0CDD-4DAB-BFA1-64F6D59DA57F}" name="Hospital_Branch"/>
    <tableColumn id="27" xr3:uid="{01787AAD-C4D5-47E1-9F57-307DAB111894}" name="Treatment_Id"/>
    <tableColumn id="28" xr3:uid="{67BBEEF8-1D3A-4CA4-8486-ECFDE4B697E9}" name="Bill_Date" dataDxfId="4"/>
    <tableColumn id="29" xr3:uid="{84D215E7-6FF2-4FCB-A1A2-D1246D33D1CF}" name="Amount" dataDxfId="3"/>
    <tableColumn id="30" xr3:uid="{4C5160A0-21B9-4EC4-B53B-01069B0429DE}" name="Payment_Method"/>
    <tableColumn id="31" xr3:uid="{4E192A93-F6A9-4996-88C7-42615314A386}" name="Payment_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8B85D6-7879-47A1-91A5-3342935E05AA}" name="Table2" displayName="Table2" ref="A1:AE201" totalsRowShown="0" headerRowDxfId="43" dataDxfId="42" tableBorderDxfId="41">
  <autoFilter ref="A1:AE201" xr:uid="{448B85D6-7879-47A1-91A5-3342935E05AA}"/>
  <tableColumns count="31">
    <tableColumn id="1" xr3:uid="{D487C0FC-DF94-4579-A78E-9039B9985247}" name="Appointment_Id" dataDxfId="40"/>
    <tableColumn id="2" xr3:uid="{71A34A8C-5A53-41F8-ABF5-5A1952202D00}" name="Patient_Id" dataDxfId="39"/>
    <tableColumn id="3" xr3:uid="{6FC346BB-FB1C-4611-B052-9AF18021A200}" name="Doctor_Id" dataDxfId="38"/>
    <tableColumn id="4" xr3:uid="{180EB2BD-02D5-4554-9380-5A32D4E20AD2}" name="Appointment_Date" dataDxfId="37"/>
    <tableColumn id="5" xr3:uid="{EE813292-AF10-4E2B-B5EA-FFA3B8FD7640}" name="Appointment_Time" dataDxfId="36"/>
    <tableColumn id="6" xr3:uid="{93F89FBE-9C84-4092-80E6-0126B2E6F8D3}" name="Reason_For_Visit" dataDxfId="35"/>
    <tableColumn id="7" xr3:uid="{FC05BB1F-07BC-4A2C-B3BA-B484B89D536A}" name="Status" dataDxfId="34"/>
    <tableColumn id="8" xr3:uid="{CBC2E5EF-6B56-436B-AC8A-EADFC24A62CE}" name="Treatment_Type" dataDxfId="33"/>
    <tableColumn id="9" xr3:uid="{714CC25F-B7FA-4760-8154-7EDB81EFD7FF}" name="Description" dataDxfId="32"/>
    <tableColumn id="10" xr3:uid="{8F411CA1-DA7A-44AC-811E-9A997FD3340A}" name="Cost" dataDxfId="31"/>
    <tableColumn id="11" xr3:uid="{4E240C81-BC45-4BBE-B473-7C3D3E6714FC}" name="Treatment_Date" dataDxfId="30"/>
    <tableColumn id="12" xr3:uid="{71C2CAEA-103F-42FC-A220-0E7A905C1298}" name="First_Name" dataDxfId="29"/>
    <tableColumn id="13" xr3:uid="{5E9A54EF-A9A8-43AA-8252-0D40C219BF97}" name="Last_Name" dataDxfId="28"/>
    <tableColumn id="14" xr3:uid="{253C3454-A3C9-4273-AB09-E14479CC2661}" name="Gender" dataDxfId="27"/>
    <tableColumn id="15" xr3:uid="{266FD5A3-344B-446D-8E43-6C6C45BCD1D9}" name="Date_Of_Birth" dataDxfId="26"/>
    <tableColumn id="16" xr3:uid="{69F7F358-13F7-450C-B6D4-A08AC0C9CF30}" name="Contact_Number" dataDxfId="25"/>
    <tableColumn id="17" xr3:uid="{DA546B5B-9462-45E8-83B2-61E8DA8063A4}" name="Address" dataDxfId="24"/>
    <tableColumn id="18" xr3:uid="{A17D227D-3348-4607-B2F5-F8C73867BBCA}" name="Registration_Date" dataDxfId="23"/>
    <tableColumn id="19" xr3:uid="{943F757B-11AE-46DA-BD11-5D41BF5548EA}" name="Insurance_Provider" dataDxfId="22"/>
    <tableColumn id="20" xr3:uid="{CE72F032-FAE1-4DA8-A64F-BE9118CC1774}" name="Insurance_Number" dataDxfId="21"/>
    <tableColumn id="21" xr3:uid="{6EB2B499-63EF-4AD1-854C-CCA03EC99C2B}" name="First_Name2" dataDxfId="20"/>
    <tableColumn id="22" xr3:uid="{21DF202A-9194-4F30-8667-6783114DED15}" name="Last_Name3" dataDxfId="19"/>
    <tableColumn id="23" xr3:uid="{A1D93CB4-124C-4A14-B908-C73255CF0989}" name="Specialization" dataDxfId="18"/>
    <tableColumn id="24" xr3:uid="{3304E511-8053-4F50-8790-96F78FF0224B}" name="Phone_Number" dataDxfId="17"/>
    <tableColumn id="25" xr3:uid="{F30AFFC7-3652-4717-BA44-3676062ED883}" name="Years_Experience" dataDxfId="16"/>
    <tableColumn id="26" xr3:uid="{4DFA2622-654F-4047-9EDC-94C1C93AC7B6}" name="Hospital_Branch" dataDxfId="15"/>
    <tableColumn id="27" xr3:uid="{E571F4D2-5F1B-43F7-B793-74A244D41B01}" name="Treatment_Id" dataDxfId="14"/>
    <tableColumn id="28" xr3:uid="{4133F2D1-B579-4C09-BC89-A7249D8CF418}" name="Bill_Date" dataDxfId="13"/>
    <tableColumn id="29" xr3:uid="{CFBB16A7-8EE8-44A7-98EE-CC8ED46B2DFA}" name="Amount" dataDxfId="12"/>
    <tableColumn id="30" xr3:uid="{BC826537-8BF8-490A-90E0-BA8FA252C015}" name="Payment_Method" dataDxfId="11"/>
    <tableColumn id="31" xr3:uid="{7B2A3490-826F-480D-B1D3-0F255A0DE522}" name="Payment_Status" dataDxfId="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Bill_Date" xr10:uid="{578596A3-00BD-413A-AF43-A3F1A26AB614}" sourceName="Bill_Date">
  <pivotTables>
    <pivotTable tabId="2" name="PivotTable5"/>
    <pivotTable tabId="2" name="PivotTable1"/>
    <pivotTable tabId="2" name="PivotTable2"/>
    <pivotTable tabId="2" name="PivotTable3"/>
  </pivotTables>
  <state minimalRefreshVersion="6" lastRefreshVersion="6" pivotCacheId="112304147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ll_Date" xr10:uid="{D7FE2B94-E0CD-466B-9B59-3D038C4BEF19}" cache="NativeTimeline_Bill_Date" caption="Bill_Date" level="2" selectionLevel="2" scrollPosition="2023-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ll_Date 1" xr10:uid="{59DCC96F-92F1-4B60-8FB7-AD97EA09CD4A}" cache="NativeTimeline_Bill_Date" caption="Bill_Date" level="2" selectionLevel="2" scrollPosition="2023-03-22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879A-CE29-4ACA-903A-6C1B9AC9F0F9}">
  <dimension ref="A1:F201"/>
  <sheetViews>
    <sheetView workbookViewId="0">
      <selection activeCell="H15" sqref="H15"/>
    </sheetView>
  </sheetViews>
  <sheetFormatPr defaultRowHeight="14.4" x14ac:dyDescent="0.3"/>
  <cols>
    <col min="1" max="1" width="13.88671875" customWidth="1"/>
    <col min="2" max="2" width="16.44140625" customWidth="1"/>
    <col min="3" max="3" width="16.109375" customWidth="1"/>
    <col min="4" max="4" width="12.21875" customWidth="1"/>
    <col min="6" max="6" width="16.109375" customWidth="1"/>
  </cols>
  <sheetData>
    <row r="1" spans="1:6" x14ac:dyDescent="0.3">
      <c r="A1" t="s">
        <v>489</v>
      </c>
      <c r="B1" t="s">
        <v>490</v>
      </c>
      <c r="C1" t="s">
        <v>491</v>
      </c>
      <c r="D1" t="s">
        <v>492</v>
      </c>
      <c r="E1" t="s">
        <v>493</v>
      </c>
      <c r="F1" t="s">
        <v>494</v>
      </c>
    </row>
    <row r="2" spans="1:6" x14ac:dyDescent="0.3">
      <c r="A2" t="s">
        <v>351</v>
      </c>
      <c r="B2" t="s">
        <v>0</v>
      </c>
      <c r="C2" t="s">
        <v>342</v>
      </c>
      <c r="D2" t="s">
        <v>343</v>
      </c>
      <c r="E2">
        <v>3941.97</v>
      </c>
      <c r="F2">
        <v>45147</v>
      </c>
    </row>
    <row r="3" spans="1:6" x14ac:dyDescent="0.3">
      <c r="A3" t="s">
        <v>362</v>
      </c>
      <c r="B3" t="s">
        <v>5</v>
      </c>
      <c r="C3" t="s">
        <v>353</v>
      </c>
      <c r="D3" t="s">
        <v>354</v>
      </c>
      <c r="E3">
        <v>4158.4399999999996</v>
      </c>
      <c r="F3">
        <v>45086</v>
      </c>
    </row>
    <row r="4" spans="1:6" x14ac:dyDescent="0.3">
      <c r="A4" t="s">
        <v>369</v>
      </c>
      <c r="B4" t="s">
        <v>9</v>
      </c>
      <c r="C4" t="s">
        <v>353</v>
      </c>
      <c r="D4" t="s">
        <v>364</v>
      </c>
      <c r="E4">
        <v>3731.55</v>
      </c>
      <c r="F4">
        <v>45105</v>
      </c>
    </row>
    <row r="5" spans="1:6" x14ac:dyDescent="0.3">
      <c r="A5" t="s">
        <v>375</v>
      </c>
      <c r="B5" t="s">
        <v>13</v>
      </c>
      <c r="C5" t="s">
        <v>353</v>
      </c>
      <c r="D5" t="s">
        <v>343</v>
      </c>
      <c r="E5">
        <v>4799.8599999999997</v>
      </c>
      <c r="F5">
        <v>45170</v>
      </c>
    </row>
    <row r="6" spans="1:6" x14ac:dyDescent="0.3">
      <c r="A6" t="s">
        <v>382</v>
      </c>
      <c r="B6" t="s">
        <v>16</v>
      </c>
      <c r="C6" t="s">
        <v>377</v>
      </c>
      <c r="D6" t="s">
        <v>364</v>
      </c>
      <c r="E6">
        <v>582.04999999999995</v>
      </c>
      <c r="F6">
        <v>45113</v>
      </c>
    </row>
    <row r="7" spans="1:6" x14ac:dyDescent="0.3">
      <c r="A7" t="s">
        <v>385</v>
      </c>
      <c r="B7" t="s">
        <v>20</v>
      </c>
      <c r="C7" t="s">
        <v>342</v>
      </c>
      <c r="D7" t="s">
        <v>364</v>
      </c>
      <c r="E7">
        <v>1381</v>
      </c>
      <c r="F7">
        <v>45096</v>
      </c>
    </row>
    <row r="8" spans="1:6" x14ac:dyDescent="0.3">
      <c r="A8" t="s">
        <v>388</v>
      </c>
      <c r="B8" t="s">
        <v>23</v>
      </c>
      <c r="C8" t="s">
        <v>342</v>
      </c>
      <c r="D8" t="s">
        <v>354</v>
      </c>
      <c r="E8">
        <v>534.03</v>
      </c>
      <c r="F8">
        <v>45025</v>
      </c>
    </row>
    <row r="9" spans="1:6" x14ac:dyDescent="0.3">
      <c r="A9" t="s">
        <v>393</v>
      </c>
      <c r="B9" t="s">
        <v>26</v>
      </c>
      <c r="C9" t="s">
        <v>389</v>
      </c>
      <c r="D9" t="s">
        <v>343</v>
      </c>
      <c r="E9">
        <v>3413.64</v>
      </c>
      <c r="F9">
        <v>45070</v>
      </c>
    </row>
    <row r="10" spans="1:6" x14ac:dyDescent="0.3">
      <c r="A10" t="s">
        <v>395</v>
      </c>
      <c r="B10" t="s">
        <v>29</v>
      </c>
      <c r="C10" t="s">
        <v>389</v>
      </c>
      <c r="D10" t="s">
        <v>364</v>
      </c>
      <c r="E10">
        <v>4541.1400000000003</v>
      </c>
      <c r="F10">
        <v>44990</v>
      </c>
    </row>
    <row r="11" spans="1:6" x14ac:dyDescent="0.3">
      <c r="A11" t="s">
        <v>397</v>
      </c>
      <c r="B11" t="s">
        <v>32</v>
      </c>
      <c r="C11" t="s">
        <v>389</v>
      </c>
      <c r="D11" t="s">
        <v>364</v>
      </c>
      <c r="E11">
        <v>1595.67</v>
      </c>
      <c r="F11">
        <v>44939</v>
      </c>
    </row>
    <row r="12" spans="1:6" x14ac:dyDescent="0.3">
      <c r="A12" t="s">
        <v>401</v>
      </c>
      <c r="B12" t="s">
        <v>35</v>
      </c>
      <c r="C12" t="s">
        <v>353</v>
      </c>
      <c r="D12" t="s">
        <v>343</v>
      </c>
      <c r="E12">
        <v>4671.66</v>
      </c>
      <c r="F12">
        <v>45242</v>
      </c>
    </row>
    <row r="13" spans="1:6" x14ac:dyDescent="0.3">
      <c r="A13" t="s">
        <v>403</v>
      </c>
      <c r="B13" t="s">
        <v>37</v>
      </c>
      <c r="C13" t="s">
        <v>342</v>
      </c>
      <c r="D13" t="s">
        <v>364</v>
      </c>
      <c r="E13">
        <v>771.2</v>
      </c>
      <c r="F13">
        <v>45053</v>
      </c>
    </row>
    <row r="14" spans="1:6" x14ac:dyDescent="0.3">
      <c r="A14" t="s">
        <v>406</v>
      </c>
      <c r="B14" t="s">
        <v>39</v>
      </c>
      <c r="C14" t="s">
        <v>353</v>
      </c>
      <c r="D14" t="s">
        <v>364</v>
      </c>
      <c r="E14">
        <v>4704.96</v>
      </c>
      <c r="F14">
        <v>45154</v>
      </c>
    </row>
    <row r="15" spans="1:6" x14ac:dyDescent="0.3">
      <c r="A15" t="s">
        <v>408</v>
      </c>
      <c r="B15" t="s">
        <v>42</v>
      </c>
      <c r="C15" t="s">
        <v>377</v>
      </c>
      <c r="D15" t="s">
        <v>343</v>
      </c>
      <c r="E15">
        <v>2082.3000000000002</v>
      </c>
      <c r="F15">
        <v>45071</v>
      </c>
    </row>
    <row r="16" spans="1:6" x14ac:dyDescent="0.3">
      <c r="A16" t="s">
        <v>410</v>
      </c>
      <c r="B16" t="s">
        <v>44</v>
      </c>
      <c r="C16" t="s">
        <v>389</v>
      </c>
      <c r="D16" t="s">
        <v>343</v>
      </c>
      <c r="E16">
        <v>956.39</v>
      </c>
      <c r="F16">
        <v>44941</v>
      </c>
    </row>
    <row r="17" spans="1:6" x14ac:dyDescent="0.3">
      <c r="A17" t="s">
        <v>495</v>
      </c>
      <c r="B17" t="s">
        <v>46</v>
      </c>
      <c r="C17" t="s">
        <v>353</v>
      </c>
      <c r="D17" t="s">
        <v>343</v>
      </c>
      <c r="E17">
        <v>2686.42</v>
      </c>
      <c r="F17">
        <v>45107</v>
      </c>
    </row>
    <row r="18" spans="1:6" x14ac:dyDescent="0.3">
      <c r="A18" t="s">
        <v>412</v>
      </c>
      <c r="B18" t="s">
        <v>48</v>
      </c>
      <c r="C18" t="s">
        <v>353</v>
      </c>
      <c r="D18" t="s">
        <v>343</v>
      </c>
      <c r="E18">
        <v>1655.49</v>
      </c>
      <c r="F18">
        <v>45118</v>
      </c>
    </row>
    <row r="19" spans="1:6" x14ac:dyDescent="0.3">
      <c r="A19" t="s">
        <v>496</v>
      </c>
      <c r="B19" t="s">
        <v>50</v>
      </c>
      <c r="C19" t="s">
        <v>377</v>
      </c>
      <c r="D19" t="s">
        <v>354</v>
      </c>
      <c r="E19">
        <v>1781.93</v>
      </c>
      <c r="F19">
        <v>45244</v>
      </c>
    </row>
    <row r="20" spans="1:6" x14ac:dyDescent="0.3">
      <c r="A20" t="s">
        <v>497</v>
      </c>
      <c r="B20" t="s">
        <v>51</v>
      </c>
      <c r="C20" t="s">
        <v>413</v>
      </c>
      <c r="D20" t="s">
        <v>343</v>
      </c>
      <c r="E20">
        <v>1882.8</v>
      </c>
      <c r="F20">
        <v>44963</v>
      </c>
    </row>
    <row r="21" spans="1:6" x14ac:dyDescent="0.3">
      <c r="A21" t="s">
        <v>415</v>
      </c>
      <c r="B21" t="s">
        <v>53</v>
      </c>
      <c r="C21" t="s">
        <v>342</v>
      </c>
      <c r="D21" t="s">
        <v>354</v>
      </c>
      <c r="E21">
        <v>4113.62</v>
      </c>
      <c r="F21">
        <v>45265</v>
      </c>
    </row>
    <row r="22" spans="1:6" x14ac:dyDescent="0.3">
      <c r="A22" t="s">
        <v>417</v>
      </c>
      <c r="B22" t="s">
        <v>55</v>
      </c>
      <c r="C22" t="s">
        <v>413</v>
      </c>
      <c r="D22" t="s">
        <v>354</v>
      </c>
      <c r="E22">
        <v>2926.23</v>
      </c>
      <c r="F22">
        <v>45040</v>
      </c>
    </row>
    <row r="23" spans="1:6" x14ac:dyDescent="0.3">
      <c r="A23" t="s">
        <v>498</v>
      </c>
      <c r="B23" t="s">
        <v>57</v>
      </c>
      <c r="C23" t="s">
        <v>389</v>
      </c>
      <c r="D23" t="s">
        <v>354</v>
      </c>
      <c r="E23">
        <v>1900.88</v>
      </c>
      <c r="F23">
        <v>45244</v>
      </c>
    </row>
    <row r="24" spans="1:6" x14ac:dyDescent="0.3">
      <c r="A24" t="s">
        <v>419</v>
      </c>
      <c r="B24" t="s">
        <v>58</v>
      </c>
      <c r="C24" t="s">
        <v>353</v>
      </c>
      <c r="D24" t="s">
        <v>364</v>
      </c>
      <c r="E24">
        <v>3246.5</v>
      </c>
      <c r="F24">
        <v>45055</v>
      </c>
    </row>
    <row r="25" spans="1:6" x14ac:dyDescent="0.3">
      <c r="A25" t="s">
        <v>421</v>
      </c>
      <c r="B25" t="s">
        <v>60</v>
      </c>
      <c r="C25" t="s">
        <v>377</v>
      </c>
      <c r="D25" t="s">
        <v>354</v>
      </c>
      <c r="E25">
        <v>3722.68</v>
      </c>
      <c r="F25">
        <v>45098</v>
      </c>
    </row>
    <row r="26" spans="1:6" x14ac:dyDescent="0.3">
      <c r="A26" t="s">
        <v>423</v>
      </c>
      <c r="B26" t="s">
        <v>62</v>
      </c>
      <c r="C26" t="s">
        <v>377</v>
      </c>
      <c r="D26" t="s">
        <v>354</v>
      </c>
      <c r="E26">
        <v>1726.81</v>
      </c>
      <c r="F26">
        <v>44982</v>
      </c>
    </row>
    <row r="27" spans="1:6" x14ac:dyDescent="0.3">
      <c r="A27" t="s">
        <v>425</v>
      </c>
      <c r="B27" t="s">
        <v>64</v>
      </c>
      <c r="C27" t="s">
        <v>342</v>
      </c>
      <c r="D27" t="s">
        <v>364</v>
      </c>
      <c r="E27">
        <v>2360.9699999999998</v>
      </c>
      <c r="F27">
        <v>45002</v>
      </c>
    </row>
    <row r="28" spans="1:6" x14ac:dyDescent="0.3">
      <c r="A28" t="s">
        <v>499</v>
      </c>
      <c r="B28" t="s">
        <v>66</v>
      </c>
      <c r="C28" t="s">
        <v>413</v>
      </c>
      <c r="D28" t="s">
        <v>364</v>
      </c>
      <c r="E28">
        <v>1048.49</v>
      </c>
      <c r="F28">
        <v>45244</v>
      </c>
    </row>
    <row r="29" spans="1:6" x14ac:dyDescent="0.3">
      <c r="A29" t="s">
        <v>500</v>
      </c>
      <c r="B29" t="s">
        <v>68</v>
      </c>
      <c r="C29" t="s">
        <v>342</v>
      </c>
      <c r="D29" t="s">
        <v>364</v>
      </c>
      <c r="E29">
        <v>1315.17</v>
      </c>
      <c r="F29">
        <v>45228</v>
      </c>
    </row>
    <row r="30" spans="1:6" x14ac:dyDescent="0.3">
      <c r="A30" t="s">
        <v>501</v>
      </c>
      <c r="B30" t="s">
        <v>69</v>
      </c>
      <c r="C30" t="s">
        <v>353</v>
      </c>
      <c r="D30" t="s">
        <v>343</v>
      </c>
      <c r="E30">
        <v>3565.03</v>
      </c>
      <c r="F30">
        <v>45102</v>
      </c>
    </row>
    <row r="31" spans="1:6" x14ac:dyDescent="0.3">
      <c r="A31" t="s">
        <v>502</v>
      </c>
      <c r="B31" t="s">
        <v>70</v>
      </c>
      <c r="C31" t="s">
        <v>342</v>
      </c>
      <c r="D31" t="s">
        <v>364</v>
      </c>
      <c r="E31">
        <v>1316.47</v>
      </c>
      <c r="F31">
        <v>45167</v>
      </c>
    </row>
    <row r="32" spans="1:6" x14ac:dyDescent="0.3">
      <c r="A32" t="s">
        <v>503</v>
      </c>
      <c r="B32" t="s">
        <v>71</v>
      </c>
      <c r="C32" t="s">
        <v>377</v>
      </c>
      <c r="D32" t="s">
        <v>364</v>
      </c>
      <c r="E32">
        <v>2863.24</v>
      </c>
      <c r="F32">
        <v>45020</v>
      </c>
    </row>
    <row r="33" spans="1:6" x14ac:dyDescent="0.3">
      <c r="A33" t="s">
        <v>504</v>
      </c>
      <c r="B33" t="s">
        <v>72</v>
      </c>
      <c r="C33" t="s">
        <v>377</v>
      </c>
      <c r="D33" t="s">
        <v>354</v>
      </c>
      <c r="E33">
        <v>3690.71</v>
      </c>
      <c r="F33">
        <v>45236</v>
      </c>
    </row>
    <row r="34" spans="1:6" x14ac:dyDescent="0.3">
      <c r="A34" t="s">
        <v>427</v>
      </c>
      <c r="B34" t="s">
        <v>73</v>
      </c>
      <c r="C34" t="s">
        <v>389</v>
      </c>
      <c r="D34" t="s">
        <v>364</v>
      </c>
      <c r="E34">
        <v>980.95</v>
      </c>
      <c r="F34">
        <v>45192</v>
      </c>
    </row>
    <row r="35" spans="1:6" x14ac:dyDescent="0.3">
      <c r="A35" t="s">
        <v>505</v>
      </c>
      <c r="B35" t="s">
        <v>75</v>
      </c>
      <c r="C35" t="s">
        <v>389</v>
      </c>
      <c r="D35" t="s">
        <v>343</v>
      </c>
      <c r="E35">
        <v>3052.9</v>
      </c>
      <c r="F35">
        <v>45090</v>
      </c>
    </row>
    <row r="36" spans="1:6" x14ac:dyDescent="0.3">
      <c r="A36" t="s">
        <v>429</v>
      </c>
      <c r="B36" t="s">
        <v>76</v>
      </c>
      <c r="C36" t="s">
        <v>353</v>
      </c>
      <c r="D36" t="s">
        <v>364</v>
      </c>
      <c r="E36">
        <v>1654.53</v>
      </c>
      <c r="F36">
        <v>45034</v>
      </c>
    </row>
    <row r="37" spans="1:6" x14ac:dyDescent="0.3">
      <c r="A37" t="s">
        <v>431</v>
      </c>
      <c r="B37" t="s">
        <v>78</v>
      </c>
      <c r="C37" t="s">
        <v>413</v>
      </c>
      <c r="D37" t="s">
        <v>343</v>
      </c>
      <c r="E37">
        <v>4833.17</v>
      </c>
      <c r="F37">
        <v>44934</v>
      </c>
    </row>
    <row r="38" spans="1:6" x14ac:dyDescent="0.3">
      <c r="A38" t="s">
        <v>506</v>
      </c>
      <c r="B38" t="s">
        <v>80</v>
      </c>
      <c r="C38" t="s">
        <v>342</v>
      </c>
      <c r="D38" t="s">
        <v>364</v>
      </c>
      <c r="E38">
        <v>2675.96</v>
      </c>
      <c r="F38">
        <v>45013</v>
      </c>
    </row>
    <row r="39" spans="1:6" x14ac:dyDescent="0.3">
      <c r="A39" t="s">
        <v>507</v>
      </c>
      <c r="B39" t="s">
        <v>81</v>
      </c>
      <c r="C39" t="s">
        <v>353</v>
      </c>
      <c r="D39" t="s">
        <v>364</v>
      </c>
      <c r="E39">
        <v>4126.97</v>
      </c>
      <c r="F39">
        <v>44980</v>
      </c>
    </row>
    <row r="40" spans="1:6" x14ac:dyDescent="0.3">
      <c r="A40" t="s">
        <v>434</v>
      </c>
      <c r="B40" t="s">
        <v>82</v>
      </c>
      <c r="C40" t="s">
        <v>389</v>
      </c>
      <c r="D40" t="s">
        <v>364</v>
      </c>
      <c r="E40">
        <v>2976.02</v>
      </c>
      <c r="F40">
        <v>45033</v>
      </c>
    </row>
    <row r="41" spans="1:6" x14ac:dyDescent="0.3">
      <c r="A41" t="s">
        <v>436</v>
      </c>
      <c r="B41" t="s">
        <v>84</v>
      </c>
      <c r="C41" t="s">
        <v>342</v>
      </c>
      <c r="D41" t="s">
        <v>364</v>
      </c>
      <c r="E41">
        <v>695.36</v>
      </c>
      <c r="F41">
        <v>45012</v>
      </c>
    </row>
    <row r="42" spans="1:6" x14ac:dyDescent="0.3">
      <c r="A42" t="s">
        <v>508</v>
      </c>
      <c r="B42" t="s">
        <v>86</v>
      </c>
      <c r="C42" t="s">
        <v>389</v>
      </c>
      <c r="D42" t="s">
        <v>343</v>
      </c>
      <c r="E42">
        <v>3349.18</v>
      </c>
      <c r="F42">
        <v>44927</v>
      </c>
    </row>
    <row r="43" spans="1:6" x14ac:dyDescent="0.3">
      <c r="A43" t="s">
        <v>509</v>
      </c>
      <c r="B43" t="s">
        <v>87</v>
      </c>
      <c r="C43" t="s">
        <v>342</v>
      </c>
      <c r="D43" t="s">
        <v>343</v>
      </c>
      <c r="E43">
        <v>4781.32</v>
      </c>
      <c r="F43">
        <v>45006</v>
      </c>
    </row>
    <row r="44" spans="1:6" x14ac:dyDescent="0.3">
      <c r="A44" t="s">
        <v>510</v>
      </c>
      <c r="B44" t="s">
        <v>88</v>
      </c>
      <c r="C44" t="s">
        <v>413</v>
      </c>
      <c r="D44" t="s">
        <v>354</v>
      </c>
      <c r="E44">
        <v>3207.25</v>
      </c>
      <c r="F44">
        <v>45014</v>
      </c>
    </row>
    <row r="45" spans="1:6" x14ac:dyDescent="0.3">
      <c r="A45" t="s">
        <v>438</v>
      </c>
      <c r="B45" t="s">
        <v>89</v>
      </c>
      <c r="C45" t="s">
        <v>353</v>
      </c>
      <c r="D45" t="s">
        <v>343</v>
      </c>
      <c r="E45">
        <v>4186.3500000000004</v>
      </c>
      <c r="F45">
        <v>45189</v>
      </c>
    </row>
    <row r="46" spans="1:6" x14ac:dyDescent="0.3">
      <c r="A46" t="s">
        <v>511</v>
      </c>
      <c r="B46" t="s">
        <v>91</v>
      </c>
      <c r="C46" t="s">
        <v>342</v>
      </c>
      <c r="D46" t="s">
        <v>364</v>
      </c>
      <c r="E46">
        <v>4478.93</v>
      </c>
      <c r="F46">
        <v>45197</v>
      </c>
    </row>
    <row r="47" spans="1:6" x14ac:dyDescent="0.3">
      <c r="A47" t="s">
        <v>440</v>
      </c>
      <c r="B47" t="s">
        <v>92</v>
      </c>
      <c r="C47" t="s">
        <v>377</v>
      </c>
      <c r="D47" t="s">
        <v>354</v>
      </c>
      <c r="E47">
        <v>1526.36</v>
      </c>
      <c r="F47">
        <v>45280</v>
      </c>
    </row>
    <row r="48" spans="1:6" x14ac:dyDescent="0.3">
      <c r="A48" t="s">
        <v>512</v>
      </c>
      <c r="B48" t="s">
        <v>94</v>
      </c>
      <c r="C48" t="s">
        <v>377</v>
      </c>
      <c r="D48" t="s">
        <v>354</v>
      </c>
      <c r="E48">
        <v>1454.2</v>
      </c>
      <c r="F48">
        <v>45048</v>
      </c>
    </row>
    <row r="49" spans="1:6" x14ac:dyDescent="0.3">
      <c r="A49" t="s">
        <v>513</v>
      </c>
      <c r="B49" t="s">
        <v>95</v>
      </c>
      <c r="C49" t="s">
        <v>342</v>
      </c>
      <c r="D49" t="s">
        <v>354</v>
      </c>
      <c r="E49">
        <v>3249.41</v>
      </c>
      <c r="F49">
        <v>44942</v>
      </c>
    </row>
    <row r="50" spans="1:6" x14ac:dyDescent="0.3">
      <c r="A50" t="s">
        <v>514</v>
      </c>
      <c r="B50" t="s">
        <v>96</v>
      </c>
      <c r="C50" t="s">
        <v>342</v>
      </c>
      <c r="D50" t="s">
        <v>364</v>
      </c>
      <c r="E50">
        <v>2349.63</v>
      </c>
      <c r="F50">
        <v>45046</v>
      </c>
    </row>
    <row r="51" spans="1:6" x14ac:dyDescent="0.3">
      <c r="A51" t="s">
        <v>515</v>
      </c>
      <c r="B51" t="s">
        <v>97</v>
      </c>
      <c r="C51" t="s">
        <v>342</v>
      </c>
      <c r="D51" t="s">
        <v>343</v>
      </c>
      <c r="E51">
        <v>4279.38</v>
      </c>
      <c r="F51">
        <v>45154</v>
      </c>
    </row>
    <row r="52" spans="1:6" x14ac:dyDescent="0.3">
      <c r="A52" t="s">
        <v>442</v>
      </c>
      <c r="B52" t="s">
        <v>98</v>
      </c>
      <c r="C52" t="s">
        <v>377</v>
      </c>
      <c r="D52" t="s">
        <v>364</v>
      </c>
      <c r="E52">
        <v>4550.1000000000004</v>
      </c>
      <c r="F52">
        <v>44961</v>
      </c>
    </row>
    <row r="53" spans="1:6" x14ac:dyDescent="0.3">
      <c r="A53" t="s">
        <v>516</v>
      </c>
      <c r="B53" t="s">
        <v>100</v>
      </c>
      <c r="C53" t="s">
        <v>377</v>
      </c>
      <c r="D53" t="s">
        <v>354</v>
      </c>
      <c r="E53">
        <v>2090.4</v>
      </c>
      <c r="F53">
        <v>45119</v>
      </c>
    </row>
    <row r="54" spans="1:6" x14ac:dyDescent="0.3">
      <c r="A54" t="s">
        <v>444</v>
      </c>
      <c r="B54" t="s">
        <v>101</v>
      </c>
      <c r="C54" t="s">
        <v>342</v>
      </c>
      <c r="D54" t="s">
        <v>364</v>
      </c>
      <c r="E54">
        <v>1565.92</v>
      </c>
      <c r="F54">
        <v>44969</v>
      </c>
    </row>
    <row r="55" spans="1:6" x14ac:dyDescent="0.3">
      <c r="A55" t="s">
        <v>517</v>
      </c>
      <c r="B55" t="s">
        <v>103</v>
      </c>
      <c r="C55" t="s">
        <v>389</v>
      </c>
      <c r="D55" t="s">
        <v>364</v>
      </c>
      <c r="E55">
        <v>4012.36</v>
      </c>
      <c r="F55">
        <v>45276</v>
      </c>
    </row>
    <row r="56" spans="1:6" x14ac:dyDescent="0.3">
      <c r="A56" t="s">
        <v>446</v>
      </c>
      <c r="B56" t="s">
        <v>104</v>
      </c>
      <c r="C56" t="s">
        <v>389</v>
      </c>
      <c r="D56" t="s">
        <v>343</v>
      </c>
      <c r="E56">
        <v>1736.63</v>
      </c>
      <c r="F56">
        <v>45205</v>
      </c>
    </row>
    <row r="57" spans="1:6" x14ac:dyDescent="0.3">
      <c r="A57" t="s">
        <v>518</v>
      </c>
      <c r="B57" t="s">
        <v>106</v>
      </c>
      <c r="C57" t="s">
        <v>413</v>
      </c>
      <c r="D57" t="s">
        <v>343</v>
      </c>
      <c r="E57">
        <v>4201.76</v>
      </c>
      <c r="F57">
        <v>44928</v>
      </c>
    </row>
    <row r="58" spans="1:6" x14ac:dyDescent="0.3">
      <c r="A58" t="s">
        <v>519</v>
      </c>
      <c r="B58" t="s">
        <v>107</v>
      </c>
      <c r="C58" t="s">
        <v>353</v>
      </c>
      <c r="D58" t="s">
        <v>354</v>
      </c>
      <c r="E58">
        <v>2406.8200000000002</v>
      </c>
      <c r="F58">
        <v>45031</v>
      </c>
    </row>
    <row r="59" spans="1:6" x14ac:dyDescent="0.3">
      <c r="A59" t="s">
        <v>520</v>
      </c>
      <c r="B59" t="s">
        <v>108</v>
      </c>
      <c r="C59" t="s">
        <v>389</v>
      </c>
      <c r="D59" t="s">
        <v>364</v>
      </c>
      <c r="E59">
        <v>3503.97</v>
      </c>
      <c r="F59">
        <v>45055</v>
      </c>
    </row>
    <row r="60" spans="1:6" x14ac:dyDescent="0.3">
      <c r="A60" t="s">
        <v>448</v>
      </c>
      <c r="B60" t="s">
        <v>109</v>
      </c>
      <c r="C60" t="s">
        <v>377</v>
      </c>
      <c r="D60" t="s">
        <v>364</v>
      </c>
      <c r="E60">
        <v>929.91</v>
      </c>
      <c r="F60">
        <v>44994</v>
      </c>
    </row>
    <row r="61" spans="1:6" x14ac:dyDescent="0.3">
      <c r="A61" t="s">
        <v>450</v>
      </c>
      <c r="B61" t="s">
        <v>111</v>
      </c>
      <c r="C61" t="s">
        <v>389</v>
      </c>
      <c r="D61" t="s">
        <v>343</v>
      </c>
      <c r="E61">
        <v>3307.37</v>
      </c>
      <c r="F61">
        <v>45252</v>
      </c>
    </row>
    <row r="62" spans="1:6" x14ac:dyDescent="0.3">
      <c r="A62" t="s">
        <v>521</v>
      </c>
      <c r="B62" t="s">
        <v>113</v>
      </c>
      <c r="C62" t="s">
        <v>413</v>
      </c>
      <c r="D62" t="s">
        <v>364</v>
      </c>
      <c r="E62">
        <v>2532.9499999999998</v>
      </c>
      <c r="F62">
        <v>44941</v>
      </c>
    </row>
    <row r="63" spans="1:6" x14ac:dyDescent="0.3">
      <c r="A63" t="s">
        <v>522</v>
      </c>
      <c r="B63" t="s">
        <v>114</v>
      </c>
      <c r="C63" t="s">
        <v>413</v>
      </c>
      <c r="D63" t="s">
        <v>364</v>
      </c>
      <c r="E63">
        <v>3139.74</v>
      </c>
      <c r="F63">
        <v>45091</v>
      </c>
    </row>
    <row r="64" spans="1:6" x14ac:dyDescent="0.3">
      <c r="A64" t="s">
        <v>452</v>
      </c>
      <c r="B64" t="s">
        <v>115</v>
      </c>
      <c r="C64" t="s">
        <v>353</v>
      </c>
      <c r="D64" t="s">
        <v>364</v>
      </c>
      <c r="E64">
        <v>1256.06</v>
      </c>
      <c r="F64">
        <v>45106</v>
      </c>
    </row>
    <row r="65" spans="1:6" x14ac:dyDescent="0.3">
      <c r="A65" t="s">
        <v>454</v>
      </c>
      <c r="B65" t="s">
        <v>117</v>
      </c>
      <c r="C65" t="s">
        <v>389</v>
      </c>
      <c r="D65" t="s">
        <v>343</v>
      </c>
      <c r="E65">
        <v>3815.93</v>
      </c>
      <c r="F65">
        <v>45077</v>
      </c>
    </row>
    <row r="66" spans="1:6" x14ac:dyDescent="0.3">
      <c r="A66" t="s">
        <v>523</v>
      </c>
      <c r="B66" t="s">
        <v>119</v>
      </c>
      <c r="C66" t="s">
        <v>377</v>
      </c>
      <c r="D66" t="s">
        <v>354</v>
      </c>
      <c r="E66">
        <v>4382.59</v>
      </c>
      <c r="F66">
        <v>45040</v>
      </c>
    </row>
    <row r="67" spans="1:6" x14ac:dyDescent="0.3">
      <c r="A67" t="s">
        <v>524</v>
      </c>
      <c r="B67" t="s">
        <v>120</v>
      </c>
      <c r="C67" t="s">
        <v>377</v>
      </c>
      <c r="D67" t="s">
        <v>354</v>
      </c>
      <c r="E67">
        <v>1475.33</v>
      </c>
      <c r="F67">
        <v>45056</v>
      </c>
    </row>
    <row r="68" spans="1:6" x14ac:dyDescent="0.3">
      <c r="A68" t="s">
        <v>456</v>
      </c>
      <c r="B68" t="s">
        <v>121</v>
      </c>
      <c r="C68" t="s">
        <v>342</v>
      </c>
      <c r="D68" t="s">
        <v>364</v>
      </c>
      <c r="E68">
        <v>930.72</v>
      </c>
      <c r="F68">
        <v>45148</v>
      </c>
    </row>
    <row r="69" spans="1:6" x14ac:dyDescent="0.3">
      <c r="A69" t="s">
        <v>525</v>
      </c>
      <c r="B69" t="s">
        <v>123</v>
      </c>
      <c r="C69" t="s">
        <v>377</v>
      </c>
      <c r="D69" t="s">
        <v>354</v>
      </c>
      <c r="E69">
        <v>606.37</v>
      </c>
      <c r="F69">
        <v>44999</v>
      </c>
    </row>
    <row r="70" spans="1:6" x14ac:dyDescent="0.3">
      <c r="A70" t="s">
        <v>526</v>
      </c>
      <c r="B70" t="s">
        <v>124</v>
      </c>
      <c r="C70" t="s">
        <v>353</v>
      </c>
      <c r="D70" t="s">
        <v>343</v>
      </c>
      <c r="E70">
        <v>3388.87</v>
      </c>
      <c r="F70">
        <v>45014</v>
      </c>
    </row>
    <row r="71" spans="1:6" x14ac:dyDescent="0.3">
      <c r="A71" t="s">
        <v>527</v>
      </c>
      <c r="B71" t="s">
        <v>125</v>
      </c>
      <c r="C71" t="s">
        <v>353</v>
      </c>
      <c r="D71" t="s">
        <v>343</v>
      </c>
      <c r="E71">
        <v>3231.92</v>
      </c>
      <c r="F71">
        <v>45164</v>
      </c>
    </row>
    <row r="72" spans="1:6" x14ac:dyDescent="0.3">
      <c r="A72" t="s">
        <v>528</v>
      </c>
      <c r="B72" t="s">
        <v>126</v>
      </c>
      <c r="C72" t="s">
        <v>377</v>
      </c>
      <c r="D72" t="s">
        <v>354</v>
      </c>
      <c r="E72">
        <v>2960.14</v>
      </c>
      <c r="F72">
        <v>44952</v>
      </c>
    </row>
    <row r="73" spans="1:6" x14ac:dyDescent="0.3">
      <c r="A73" t="s">
        <v>529</v>
      </c>
      <c r="B73" t="s">
        <v>127</v>
      </c>
      <c r="C73" t="s">
        <v>377</v>
      </c>
      <c r="D73" t="s">
        <v>354</v>
      </c>
      <c r="E73">
        <v>1543.76</v>
      </c>
      <c r="F73">
        <v>45089</v>
      </c>
    </row>
    <row r="74" spans="1:6" x14ac:dyDescent="0.3">
      <c r="A74" t="s">
        <v>530</v>
      </c>
      <c r="B74" t="s">
        <v>128</v>
      </c>
      <c r="C74" t="s">
        <v>342</v>
      </c>
      <c r="D74" t="s">
        <v>364</v>
      </c>
      <c r="E74">
        <v>2259.08</v>
      </c>
      <c r="F74">
        <v>45284</v>
      </c>
    </row>
    <row r="75" spans="1:6" x14ac:dyDescent="0.3">
      <c r="A75" t="s">
        <v>531</v>
      </c>
      <c r="B75" t="s">
        <v>129</v>
      </c>
      <c r="C75" t="s">
        <v>377</v>
      </c>
      <c r="D75" t="s">
        <v>354</v>
      </c>
      <c r="E75">
        <v>3175.14</v>
      </c>
      <c r="F75">
        <v>45130</v>
      </c>
    </row>
    <row r="76" spans="1:6" x14ac:dyDescent="0.3">
      <c r="A76" t="s">
        <v>532</v>
      </c>
      <c r="B76" t="s">
        <v>130</v>
      </c>
      <c r="C76" t="s">
        <v>342</v>
      </c>
      <c r="D76" t="s">
        <v>364</v>
      </c>
      <c r="E76">
        <v>2735.45</v>
      </c>
      <c r="F76">
        <v>45054</v>
      </c>
    </row>
    <row r="77" spans="1:6" x14ac:dyDescent="0.3">
      <c r="A77" t="s">
        <v>458</v>
      </c>
      <c r="B77" t="s">
        <v>131</v>
      </c>
      <c r="C77" t="s">
        <v>342</v>
      </c>
      <c r="D77" t="s">
        <v>364</v>
      </c>
      <c r="E77">
        <v>4945.03</v>
      </c>
      <c r="F77">
        <v>45257</v>
      </c>
    </row>
    <row r="78" spans="1:6" x14ac:dyDescent="0.3">
      <c r="A78" t="s">
        <v>533</v>
      </c>
      <c r="B78" t="s">
        <v>133</v>
      </c>
      <c r="C78" t="s">
        <v>377</v>
      </c>
      <c r="D78" t="s">
        <v>343</v>
      </c>
      <c r="E78">
        <v>1113.98</v>
      </c>
      <c r="F78">
        <v>45274</v>
      </c>
    </row>
    <row r="79" spans="1:6" x14ac:dyDescent="0.3">
      <c r="A79" t="s">
        <v>460</v>
      </c>
      <c r="B79" t="s">
        <v>134</v>
      </c>
      <c r="C79" t="s">
        <v>413</v>
      </c>
      <c r="D79" t="s">
        <v>343</v>
      </c>
      <c r="E79">
        <v>3628.15</v>
      </c>
      <c r="F79">
        <v>45186</v>
      </c>
    </row>
    <row r="80" spans="1:6" x14ac:dyDescent="0.3">
      <c r="A80" t="s">
        <v>534</v>
      </c>
      <c r="B80" t="s">
        <v>136</v>
      </c>
      <c r="C80" t="s">
        <v>413</v>
      </c>
      <c r="D80" t="s">
        <v>343</v>
      </c>
      <c r="E80">
        <v>2319.4299999999998</v>
      </c>
      <c r="F80">
        <v>45286</v>
      </c>
    </row>
    <row r="81" spans="1:6" x14ac:dyDescent="0.3">
      <c r="A81" t="s">
        <v>535</v>
      </c>
      <c r="B81" t="s">
        <v>137</v>
      </c>
      <c r="C81" t="s">
        <v>342</v>
      </c>
      <c r="D81" t="s">
        <v>343</v>
      </c>
      <c r="E81">
        <v>2426.9</v>
      </c>
      <c r="F81">
        <v>45103</v>
      </c>
    </row>
    <row r="82" spans="1:6" x14ac:dyDescent="0.3">
      <c r="A82" t="s">
        <v>536</v>
      </c>
      <c r="B82" t="s">
        <v>138</v>
      </c>
      <c r="C82" t="s">
        <v>377</v>
      </c>
      <c r="D82" t="s">
        <v>354</v>
      </c>
      <c r="E82">
        <v>3729.19</v>
      </c>
      <c r="F82">
        <v>44932</v>
      </c>
    </row>
    <row r="83" spans="1:6" x14ac:dyDescent="0.3">
      <c r="A83" t="s">
        <v>537</v>
      </c>
      <c r="B83" t="s">
        <v>139</v>
      </c>
      <c r="C83" t="s">
        <v>413</v>
      </c>
      <c r="D83" t="s">
        <v>343</v>
      </c>
      <c r="E83">
        <v>3615.96</v>
      </c>
      <c r="F83">
        <v>44946</v>
      </c>
    </row>
    <row r="84" spans="1:6" x14ac:dyDescent="0.3">
      <c r="A84" t="s">
        <v>538</v>
      </c>
      <c r="B84" t="s">
        <v>140</v>
      </c>
      <c r="C84" t="s">
        <v>377</v>
      </c>
      <c r="D84" t="s">
        <v>354</v>
      </c>
      <c r="E84">
        <v>4960.6499999999996</v>
      </c>
      <c r="F84">
        <v>45237</v>
      </c>
    </row>
    <row r="85" spans="1:6" x14ac:dyDescent="0.3">
      <c r="A85" t="s">
        <v>539</v>
      </c>
      <c r="B85" t="s">
        <v>141</v>
      </c>
      <c r="C85" t="s">
        <v>377</v>
      </c>
      <c r="D85" t="s">
        <v>343</v>
      </c>
      <c r="E85">
        <v>1077.77</v>
      </c>
      <c r="F85">
        <v>45077</v>
      </c>
    </row>
    <row r="86" spans="1:6" x14ac:dyDescent="0.3">
      <c r="A86" t="s">
        <v>540</v>
      </c>
      <c r="B86" t="s">
        <v>142</v>
      </c>
      <c r="C86" t="s">
        <v>377</v>
      </c>
      <c r="D86" t="s">
        <v>354</v>
      </c>
      <c r="E86">
        <v>968.49</v>
      </c>
      <c r="F86">
        <v>44975</v>
      </c>
    </row>
    <row r="87" spans="1:6" x14ac:dyDescent="0.3">
      <c r="A87" t="s">
        <v>462</v>
      </c>
      <c r="B87" t="s">
        <v>143</v>
      </c>
      <c r="C87" t="s">
        <v>389</v>
      </c>
      <c r="D87" t="s">
        <v>364</v>
      </c>
      <c r="E87">
        <v>3759.52</v>
      </c>
      <c r="F87">
        <v>45228</v>
      </c>
    </row>
    <row r="88" spans="1:6" x14ac:dyDescent="0.3">
      <c r="A88" t="s">
        <v>541</v>
      </c>
      <c r="B88" t="s">
        <v>145</v>
      </c>
      <c r="C88" t="s">
        <v>377</v>
      </c>
      <c r="D88" t="s">
        <v>354</v>
      </c>
      <c r="E88">
        <v>3102.74</v>
      </c>
      <c r="F88">
        <v>45218</v>
      </c>
    </row>
    <row r="89" spans="1:6" x14ac:dyDescent="0.3">
      <c r="A89" t="s">
        <v>464</v>
      </c>
      <c r="B89" t="s">
        <v>146</v>
      </c>
      <c r="C89" t="s">
        <v>389</v>
      </c>
      <c r="D89" t="s">
        <v>354</v>
      </c>
      <c r="E89">
        <v>1733.72</v>
      </c>
      <c r="F89">
        <v>45048</v>
      </c>
    </row>
    <row r="90" spans="1:6" x14ac:dyDescent="0.3">
      <c r="A90" t="s">
        <v>542</v>
      </c>
      <c r="B90" t="s">
        <v>148</v>
      </c>
      <c r="C90" t="s">
        <v>342</v>
      </c>
      <c r="D90" t="s">
        <v>343</v>
      </c>
      <c r="E90">
        <v>857.39</v>
      </c>
      <c r="F90">
        <v>44971</v>
      </c>
    </row>
    <row r="91" spans="1:6" x14ac:dyDescent="0.3">
      <c r="A91" t="s">
        <v>543</v>
      </c>
      <c r="B91" t="s">
        <v>149</v>
      </c>
      <c r="C91" t="s">
        <v>413</v>
      </c>
      <c r="D91" t="s">
        <v>354</v>
      </c>
      <c r="E91">
        <v>885.46</v>
      </c>
      <c r="F91">
        <v>45078</v>
      </c>
    </row>
    <row r="92" spans="1:6" x14ac:dyDescent="0.3">
      <c r="A92" t="s">
        <v>544</v>
      </c>
      <c r="B92" t="s">
        <v>150</v>
      </c>
      <c r="C92" t="s">
        <v>413</v>
      </c>
      <c r="D92" t="s">
        <v>364</v>
      </c>
      <c r="E92">
        <v>4523.8599999999997</v>
      </c>
      <c r="F92">
        <v>45088</v>
      </c>
    </row>
    <row r="93" spans="1:6" x14ac:dyDescent="0.3">
      <c r="A93" t="s">
        <v>545</v>
      </c>
      <c r="B93" t="s">
        <v>151</v>
      </c>
      <c r="C93" t="s">
        <v>413</v>
      </c>
      <c r="D93" t="s">
        <v>364</v>
      </c>
      <c r="E93">
        <v>1363.4</v>
      </c>
      <c r="F93">
        <v>44956</v>
      </c>
    </row>
    <row r="94" spans="1:6" x14ac:dyDescent="0.3">
      <c r="A94" t="s">
        <v>546</v>
      </c>
      <c r="B94" t="s">
        <v>152</v>
      </c>
      <c r="C94" t="s">
        <v>413</v>
      </c>
      <c r="D94" t="s">
        <v>343</v>
      </c>
      <c r="E94">
        <v>1955.17</v>
      </c>
      <c r="F94">
        <v>45025</v>
      </c>
    </row>
    <row r="95" spans="1:6" x14ac:dyDescent="0.3">
      <c r="A95" t="s">
        <v>466</v>
      </c>
      <c r="B95" t="s">
        <v>153</v>
      </c>
      <c r="C95" t="s">
        <v>413</v>
      </c>
      <c r="D95" t="s">
        <v>364</v>
      </c>
      <c r="E95">
        <v>1519.95</v>
      </c>
      <c r="F95">
        <v>45024</v>
      </c>
    </row>
    <row r="96" spans="1:6" x14ac:dyDescent="0.3">
      <c r="A96" t="s">
        <v>468</v>
      </c>
      <c r="B96" t="s">
        <v>155</v>
      </c>
      <c r="C96" t="s">
        <v>413</v>
      </c>
      <c r="D96" t="s">
        <v>354</v>
      </c>
      <c r="E96">
        <v>2097.48</v>
      </c>
      <c r="F96">
        <v>45055</v>
      </c>
    </row>
    <row r="97" spans="1:6" x14ac:dyDescent="0.3">
      <c r="A97" t="s">
        <v>547</v>
      </c>
      <c r="B97" t="s">
        <v>157</v>
      </c>
      <c r="C97" t="s">
        <v>413</v>
      </c>
      <c r="D97" t="s">
        <v>364</v>
      </c>
      <c r="E97">
        <v>812.41</v>
      </c>
      <c r="F97">
        <v>45114</v>
      </c>
    </row>
    <row r="98" spans="1:6" x14ac:dyDescent="0.3">
      <c r="A98" t="s">
        <v>548</v>
      </c>
      <c r="B98" t="s">
        <v>158</v>
      </c>
      <c r="C98" t="s">
        <v>342</v>
      </c>
      <c r="D98" t="s">
        <v>343</v>
      </c>
      <c r="E98">
        <v>2835.77</v>
      </c>
      <c r="F98">
        <v>45052</v>
      </c>
    </row>
    <row r="99" spans="1:6" x14ac:dyDescent="0.3">
      <c r="A99" t="s">
        <v>549</v>
      </c>
      <c r="B99" t="s">
        <v>159</v>
      </c>
      <c r="C99" t="s">
        <v>377</v>
      </c>
      <c r="D99" t="s">
        <v>354</v>
      </c>
      <c r="E99">
        <v>804.26</v>
      </c>
      <c r="F99">
        <v>45002</v>
      </c>
    </row>
    <row r="100" spans="1:6" x14ac:dyDescent="0.3">
      <c r="A100" t="s">
        <v>470</v>
      </c>
      <c r="B100" t="s">
        <v>160</v>
      </c>
      <c r="C100" t="s">
        <v>353</v>
      </c>
      <c r="D100" t="s">
        <v>343</v>
      </c>
      <c r="E100">
        <v>4101.6000000000004</v>
      </c>
      <c r="F100">
        <v>45111</v>
      </c>
    </row>
    <row r="101" spans="1:6" x14ac:dyDescent="0.3">
      <c r="A101" t="s">
        <v>550</v>
      </c>
      <c r="B101" t="s">
        <v>162</v>
      </c>
      <c r="C101" t="s">
        <v>389</v>
      </c>
      <c r="D101" t="s">
        <v>354</v>
      </c>
      <c r="E101">
        <v>1551.7</v>
      </c>
      <c r="F101">
        <v>44987</v>
      </c>
    </row>
    <row r="102" spans="1:6" x14ac:dyDescent="0.3">
      <c r="A102" t="s">
        <v>551</v>
      </c>
      <c r="B102" t="s">
        <v>163</v>
      </c>
      <c r="C102" t="s">
        <v>353</v>
      </c>
      <c r="D102" t="s">
        <v>364</v>
      </c>
      <c r="E102">
        <v>2930.05</v>
      </c>
      <c r="F102">
        <v>45190</v>
      </c>
    </row>
    <row r="103" spans="1:6" x14ac:dyDescent="0.3">
      <c r="A103" t="s">
        <v>552</v>
      </c>
      <c r="B103" t="s">
        <v>164</v>
      </c>
      <c r="C103" t="s">
        <v>353</v>
      </c>
      <c r="D103" t="s">
        <v>343</v>
      </c>
      <c r="E103">
        <v>4460.3599999999997</v>
      </c>
      <c r="F103">
        <v>45224</v>
      </c>
    </row>
    <row r="104" spans="1:6" x14ac:dyDescent="0.3">
      <c r="A104" t="s">
        <v>553</v>
      </c>
      <c r="B104" t="s">
        <v>165</v>
      </c>
      <c r="C104" t="s">
        <v>377</v>
      </c>
      <c r="D104" t="s">
        <v>343</v>
      </c>
      <c r="E104">
        <v>3428.95</v>
      </c>
      <c r="F104">
        <v>44950</v>
      </c>
    </row>
    <row r="105" spans="1:6" x14ac:dyDescent="0.3">
      <c r="A105" t="s">
        <v>554</v>
      </c>
      <c r="B105" t="s">
        <v>166</v>
      </c>
      <c r="C105" t="s">
        <v>377</v>
      </c>
      <c r="D105" t="s">
        <v>354</v>
      </c>
      <c r="E105">
        <v>2898.31</v>
      </c>
      <c r="F105">
        <v>45034</v>
      </c>
    </row>
    <row r="106" spans="1:6" x14ac:dyDescent="0.3">
      <c r="A106" t="s">
        <v>555</v>
      </c>
      <c r="B106" t="s">
        <v>167</v>
      </c>
      <c r="C106" t="s">
        <v>377</v>
      </c>
      <c r="D106" t="s">
        <v>343</v>
      </c>
      <c r="E106">
        <v>1959.5</v>
      </c>
      <c r="F106">
        <v>45152</v>
      </c>
    </row>
    <row r="107" spans="1:6" x14ac:dyDescent="0.3">
      <c r="A107" t="s">
        <v>556</v>
      </c>
      <c r="B107" t="s">
        <v>168</v>
      </c>
      <c r="C107" t="s">
        <v>413</v>
      </c>
      <c r="D107" t="s">
        <v>354</v>
      </c>
      <c r="E107">
        <v>1998.51</v>
      </c>
      <c r="F107">
        <v>45228</v>
      </c>
    </row>
    <row r="108" spans="1:6" x14ac:dyDescent="0.3">
      <c r="A108" t="s">
        <v>472</v>
      </c>
      <c r="B108" t="s">
        <v>169</v>
      </c>
      <c r="C108" t="s">
        <v>342</v>
      </c>
      <c r="D108" t="s">
        <v>354</v>
      </c>
      <c r="E108">
        <v>3512.69</v>
      </c>
      <c r="F108">
        <v>45033</v>
      </c>
    </row>
    <row r="109" spans="1:6" x14ac:dyDescent="0.3">
      <c r="A109" t="s">
        <v>557</v>
      </c>
      <c r="B109" t="s">
        <v>171</v>
      </c>
      <c r="C109" t="s">
        <v>413</v>
      </c>
      <c r="D109" t="s">
        <v>354</v>
      </c>
      <c r="E109">
        <v>4973.63</v>
      </c>
      <c r="F109">
        <v>45037</v>
      </c>
    </row>
    <row r="110" spans="1:6" x14ac:dyDescent="0.3">
      <c r="A110" t="s">
        <v>558</v>
      </c>
      <c r="B110" t="s">
        <v>172</v>
      </c>
      <c r="C110" t="s">
        <v>342</v>
      </c>
      <c r="D110" t="s">
        <v>354</v>
      </c>
      <c r="E110">
        <v>3478.28</v>
      </c>
      <c r="F110">
        <v>45136</v>
      </c>
    </row>
    <row r="111" spans="1:6" x14ac:dyDescent="0.3">
      <c r="A111" t="s">
        <v>559</v>
      </c>
      <c r="B111" t="s">
        <v>173</v>
      </c>
      <c r="C111" t="s">
        <v>342</v>
      </c>
      <c r="D111" t="s">
        <v>364</v>
      </c>
      <c r="E111">
        <v>3010.03</v>
      </c>
      <c r="F111">
        <v>45126</v>
      </c>
    </row>
    <row r="112" spans="1:6" x14ac:dyDescent="0.3">
      <c r="A112" t="s">
        <v>560</v>
      </c>
      <c r="B112" t="s">
        <v>174</v>
      </c>
      <c r="C112" t="s">
        <v>353</v>
      </c>
      <c r="D112" t="s">
        <v>354</v>
      </c>
      <c r="E112">
        <v>3787.93</v>
      </c>
      <c r="F112">
        <v>45068</v>
      </c>
    </row>
    <row r="113" spans="1:6" x14ac:dyDescent="0.3">
      <c r="A113" t="s">
        <v>561</v>
      </c>
      <c r="B113" t="s">
        <v>175</v>
      </c>
      <c r="C113" t="s">
        <v>353</v>
      </c>
      <c r="D113" t="s">
        <v>343</v>
      </c>
      <c r="E113">
        <v>2593.4299999999998</v>
      </c>
      <c r="F113">
        <v>44937</v>
      </c>
    </row>
    <row r="114" spans="1:6" x14ac:dyDescent="0.3">
      <c r="A114" t="s">
        <v>562</v>
      </c>
      <c r="B114" t="s">
        <v>176</v>
      </c>
      <c r="C114" t="s">
        <v>342</v>
      </c>
      <c r="D114" t="s">
        <v>364</v>
      </c>
      <c r="E114">
        <v>770.64</v>
      </c>
      <c r="F114">
        <v>45254</v>
      </c>
    </row>
    <row r="115" spans="1:6" x14ac:dyDescent="0.3">
      <c r="A115" t="s">
        <v>474</v>
      </c>
      <c r="B115" t="s">
        <v>177</v>
      </c>
      <c r="C115" t="s">
        <v>342</v>
      </c>
      <c r="D115" t="s">
        <v>343</v>
      </c>
      <c r="E115">
        <v>3030.34</v>
      </c>
      <c r="F115">
        <v>45146</v>
      </c>
    </row>
    <row r="116" spans="1:6" x14ac:dyDescent="0.3">
      <c r="A116" t="s">
        <v>563</v>
      </c>
      <c r="B116" t="s">
        <v>179</v>
      </c>
      <c r="C116" t="s">
        <v>413</v>
      </c>
      <c r="D116" t="s">
        <v>364</v>
      </c>
      <c r="E116">
        <v>4809.3100000000004</v>
      </c>
      <c r="F116">
        <v>45224</v>
      </c>
    </row>
    <row r="117" spans="1:6" x14ac:dyDescent="0.3">
      <c r="A117" t="s">
        <v>564</v>
      </c>
      <c r="B117" t="s">
        <v>180</v>
      </c>
      <c r="C117" t="s">
        <v>413</v>
      </c>
      <c r="D117" t="s">
        <v>354</v>
      </c>
      <c r="E117">
        <v>1288.8599999999999</v>
      </c>
      <c r="F117">
        <v>45114</v>
      </c>
    </row>
    <row r="118" spans="1:6" x14ac:dyDescent="0.3">
      <c r="A118" t="s">
        <v>565</v>
      </c>
      <c r="B118" t="s">
        <v>181</v>
      </c>
      <c r="C118" t="s">
        <v>353</v>
      </c>
      <c r="D118" t="s">
        <v>364</v>
      </c>
      <c r="E118">
        <v>3605.02</v>
      </c>
      <c r="F118">
        <v>45097</v>
      </c>
    </row>
    <row r="119" spans="1:6" x14ac:dyDescent="0.3">
      <c r="A119" t="s">
        <v>566</v>
      </c>
      <c r="B119" t="s">
        <v>182</v>
      </c>
      <c r="C119" t="s">
        <v>377</v>
      </c>
      <c r="D119" t="s">
        <v>364</v>
      </c>
      <c r="E119">
        <v>1404.2</v>
      </c>
      <c r="F119">
        <v>45147</v>
      </c>
    </row>
    <row r="120" spans="1:6" x14ac:dyDescent="0.3">
      <c r="A120" t="s">
        <v>567</v>
      </c>
      <c r="B120" t="s">
        <v>183</v>
      </c>
      <c r="C120" t="s">
        <v>342</v>
      </c>
      <c r="D120" t="s">
        <v>343</v>
      </c>
      <c r="E120">
        <v>2911.22</v>
      </c>
      <c r="F120">
        <v>45278</v>
      </c>
    </row>
    <row r="121" spans="1:6" x14ac:dyDescent="0.3">
      <c r="A121" t="s">
        <v>568</v>
      </c>
      <c r="B121" t="s">
        <v>184</v>
      </c>
      <c r="C121" t="s">
        <v>413</v>
      </c>
      <c r="D121" t="s">
        <v>343</v>
      </c>
      <c r="E121">
        <v>935.04</v>
      </c>
      <c r="F121">
        <v>45268</v>
      </c>
    </row>
    <row r="122" spans="1:6" x14ac:dyDescent="0.3">
      <c r="A122" t="s">
        <v>569</v>
      </c>
      <c r="B122" t="s">
        <v>185</v>
      </c>
      <c r="C122" t="s">
        <v>353</v>
      </c>
      <c r="D122" t="s">
        <v>354</v>
      </c>
      <c r="E122">
        <v>2526.67</v>
      </c>
      <c r="F122">
        <v>45023</v>
      </c>
    </row>
    <row r="123" spans="1:6" x14ac:dyDescent="0.3">
      <c r="A123" t="s">
        <v>570</v>
      </c>
      <c r="B123" t="s">
        <v>186</v>
      </c>
      <c r="C123" t="s">
        <v>413</v>
      </c>
      <c r="D123" t="s">
        <v>364</v>
      </c>
      <c r="E123">
        <v>3902.73</v>
      </c>
      <c r="F123">
        <v>45118</v>
      </c>
    </row>
    <row r="124" spans="1:6" x14ac:dyDescent="0.3">
      <c r="A124" t="s">
        <v>571</v>
      </c>
      <c r="B124" t="s">
        <v>187</v>
      </c>
      <c r="C124" t="s">
        <v>342</v>
      </c>
      <c r="D124" t="s">
        <v>364</v>
      </c>
      <c r="E124">
        <v>2064.0700000000002</v>
      </c>
      <c r="F124">
        <v>44985</v>
      </c>
    </row>
    <row r="125" spans="1:6" x14ac:dyDescent="0.3">
      <c r="A125" t="s">
        <v>572</v>
      </c>
      <c r="B125" t="s">
        <v>188</v>
      </c>
      <c r="C125" t="s">
        <v>342</v>
      </c>
      <c r="D125" t="s">
        <v>364</v>
      </c>
      <c r="E125">
        <v>3492.1</v>
      </c>
      <c r="F125">
        <v>45001</v>
      </c>
    </row>
    <row r="126" spans="1:6" x14ac:dyDescent="0.3">
      <c r="A126" t="s">
        <v>573</v>
      </c>
      <c r="B126" t="s">
        <v>189</v>
      </c>
      <c r="C126" t="s">
        <v>389</v>
      </c>
      <c r="D126" t="s">
        <v>354</v>
      </c>
      <c r="E126">
        <v>4079.52</v>
      </c>
      <c r="F126">
        <v>44975</v>
      </c>
    </row>
    <row r="127" spans="1:6" x14ac:dyDescent="0.3">
      <c r="A127" t="s">
        <v>574</v>
      </c>
      <c r="B127" t="s">
        <v>190</v>
      </c>
      <c r="C127" t="s">
        <v>377</v>
      </c>
      <c r="D127" t="s">
        <v>354</v>
      </c>
      <c r="E127">
        <v>4672.3</v>
      </c>
      <c r="F127">
        <v>45232</v>
      </c>
    </row>
    <row r="128" spans="1:6" x14ac:dyDescent="0.3">
      <c r="A128" t="s">
        <v>575</v>
      </c>
      <c r="B128" t="s">
        <v>191</v>
      </c>
      <c r="C128" t="s">
        <v>389</v>
      </c>
      <c r="D128" t="s">
        <v>354</v>
      </c>
      <c r="E128">
        <v>1555.89</v>
      </c>
      <c r="F128">
        <v>45243</v>
      </c>
    </row>
    <row r="129" spans="1:6" x14ac:dyDescent="0.3">
      <c r="A129" t="s">
        <v>576</v>
      </c>
      <c r="B129" t="s">
        <v>192</v>
      </c>
      <c r="C129" t="s">
        <v>353</v>
      </c>
      <c r="D129" t="s">
        <v>354</v>
      </c>
      <c r="E129">
        <v>2296.92</v>
      </c>
      <c r="F129">
        <v>45031</v>
      </c>
    </row>
    <row r="130" spans="1:6" x14ac:dyDescent="0.3">
      <c r="A130" t="s">
        <v>577</v>
      </c>
      <c r="B130" t="s">
        <v>193</v>
      </c>
      <c r="C130" t="s">
        <v>413</v>
      </c>
      <c r="D130" t="s">
        <v>354</v>
      </c>
      <c r="E130">
        <v>1185.8699999999999</v>
      </c>
      <c r="F130">
        <v>45163</v>
      </c>
    </row>
    <row r="131" spans="1:6" x14ac:dyDescent="0.3">
      <c r="A131" t="s">
        <v>578</v>
      </c>
      <c r="B131" t="s">
        <v>194</v>
      </c>
      <c r="C131" t="s">
        <v>353</v>
      </c>
      <c r="D131" t="s">
        <v>343</v>
      </c>
      <c r="E131">
        <v>4966.18</v>
      </c>
      <c r="F131">
        <v>44980</v>
      </c>
    </row>
    <row r="132" spans="1:6" x14ac:dyDescent="0.3">
      <c r="A132" t="s">
        <v>579</v>
      </c>
      <c r="B132" t="s">
        <v>195</v>
      </c>
      <c r="C132" t="s">
        <v>342</v>
      </c>
      <c r="D132" t="s">
        <v>364</v>
      </c>
      <c r="E132">
        <v>4671.5</v>
      </c>
      <c r="F132">
        <v>45057</v>
      </c>
    </row>
    <row r="133" spans="1:6" x14ac:dyDescent="0.3">
      <c r="A133" t="s">
        <v>580</v>
      </c>
      <c r="B133" t="s">
        <v>196</v>
      </c>
      <c r="C133" t="s">
        <v>389</v>
      </c>
      <c r="D133" t="s">
        <v>364</v>
      </c>
      <c r="E133">
        <v>2929.81</v>
      </c>
      <c r="F133">
        <v>45133</v>
      </c>
    </row>
    <row r="134" spans="1:6" x14ac:dyDescent="0.3">
      <c r="A134" t="s">
        <v>581</v>
      </c>
      <c r="B134" t="s">
        <v>197</v>
      </c>
      <c r="C134" t="s">
        <v>389</v>
      </c>
      <c r="D134" t="s">
        <v>364</v>
      </c>
      <c r="E134">
        <v>4289.1499999999996</v>
      </c>
      <c r="F134">
        <v>45008</v>
      </c>
    </row>
    <row r="135" spans="1:6" x14ac:dyDescent="0.3">
      <c r="A135" t="s">
        <v>582</v>
      </c>
      <c r="B135" t="s">
        <v>198</v>
      </c>
      <c r="C135" t="s">
        <v>389</v>
      </c>
      <c r="D135" t="s">
        <v>364</v>
      </c>
      <c r="E135">
        <v>2844.31</v>
      </c>
      <c r="F135">
        <v>45216</v>
      </c>
    </row>
    <row r="136" spans="1:6" x14ac:dyDescent="0.3">
      <c r="A136" t="s">
        <v>583</v>
      </c>
      <c r="B136" t="s">
        <v>199</v>
      </c>
      <c r="C136" t="s">
        <v>353</v>
      </c>
      <c r="D136" t="s">
        <v>364</v>
      </c>
      <c r="E136">
        <v>3306.14</v>
      </c>
      <c r="F136">
        <v>45178</v>
      </c>
    </row>
    <row r="137" spans="1:6" x14ac:dyDescent="0.3">
      <c r="A137" t="s">
        <v>584</v>
      </c>
      <c r="B137" t="s">
        <v>200</v>
      </c>
      <c r="C137" t="s">
        <v>342</v>
      </c>
      <c r="D137" t="s">
        <v>364</v>
      </c>
      <c r="E137">
        <v>901.06</v>
      </c>
      <c r="F137">
        <v>45059</v>
      </c>
    </row>
    <row r="138" spans="1:6" x14ac:dyDescent="0.3">
      <c r="A138" t="s">
        <v>585</v>
      </c>
      <c r="B138" t="s">
        <v>201</v>
      </c>
      <c r="C138" t="s">
        <v>413</v>
      </c>
      <c r="D138" t="s">
        <v>364</v>
      </c>
      <c r="E138">
        <v>3898.72</v>
      </c>
      <c r="F138">
        <v>45224</v>
      </c>
    </row>
    <row r="139" spans="1:6" x14ac:dyDescent="0.3">
      <c r="A139" t="s">
        <v>586</v>
      </c>
      <c r="B139" t="s">
        <v>202</v>
      </c>
      <c r="C139" t="s">
        <v>413</v>
      </c>
      <c r="D139" t="s">
        <v>364</v>
      </c>
      <c r="E139">
        <v>1074.71</v>
      </c>
      <c r="F139">
        <v>45286</v>
      </c>
    </row>
    <row r="140" spans="1:6" x14ac:dyDescent="0.3">
      <c r="A140" t="s">
        <v>587</v>
      </c>
      <c r="B140" t="s">
        <v>203</v>
      </c>
      <c r="C140" t="s">
        <v>353</v>
      </c>
      <c r="D140" t="s">
        <v>343</v>
      </c>
      <c r="E140">
        <v>4217.3</v>
      </c>
      <c r="F140">
        <v>45209</v>
      </c>
    </row>
    <row r="141" spans="1:6" x14ac:dyDescent="0.3">
      <c r="A141" t="s">
        <v>588</v>
      </c>
      <c r="B141" t="s">
        <v>204</v>
      </c>
      <c r="C141" t="s">
        <v>389</v>
      </c>
      <c r="D141" t="s">
        <v>364</v>
      </c>
      <c r="E141">
        <v>4019.13</v>
      </c>
      <c r="F141">
        <v>44962</v>
      </c>
    </row>
    <row r="142" spans="1:6" x14ac:dyDescent="0.3">
      <c r="A142" t="s">
        <v>589</v>
      </c>
      <c r="B142" t="s">
        <v>205</v>
      </c>
      <c r="C142" t="s">
        <v>377</v>
      </c>
      <c r="D142" t="s">
        <v>343</v>
      </c>
      <c r="E142">
        <v>3689.35</v>
      </c>
      <c r="F142">
        <v>45092</v>
      </c>
    </row>
    <row r="143" spans="1:6" x14ac:dyDescent="0.3">
      <c r="A143" t="s">
        <v>590</v>
      </c>
      <c r="B143" t="s">
        <v>206</v>
      </c>
      <c r="C143" t="s">
        <v>353</v>
      </c>
      <c r="D143" t="s">
        <v>354</v>
      </c>
      <c r="E143">
        <v>662.72</v>
      </c>
      <c r="F143">
        <v>45231</v>
      </c>
    </row>
    <row r="144" spans="1:6" x14ac:dyDescent="0.3">
      <c r="A144" t="s">
        <v>591</v>
      </c>
      <c r="B144" t="s">
        <v>207</v>
      </c>
      <c r="C144" t="s">
        <v>353</v>
      </c>
      <c r="D144" t="s">
        <v>364</v>
      </c>
      <c r="E144">
        <v>1864.08</v>
      </c>
      <c r="F144">
        <v>45190</v>
      </c>
    </row>
    <row r="145" spans="1:6" x14ac:dyDescent="0.3">
      <c r="A145" t="s">
        <v>592</v>
      </c>
      <c r="B145" t="s">
        <v>208</v>
      </c>
      <c r="C145" t="s">
        <v>342</v>
      </c>
      <c r="D145" t="s">
        <v>354</v>
      </c>
      <c r="E145">
        <v>1684.01</v>
      </c>
      <c r="F145">
        <v>45154</v>
      </c>
    </row>
    <row r="146" spans="1:6" x14ac:dyDescent="0.3">
      <c r="A146" t="s">
        <v>593</v>
      </c>
      <c r="B146" t="s">
        <v>209</v>
      </c>
      <c r="C146" t="s">
        <v>413</v>
      </c>
      <c r="D146" t="s">
        <v>354</v>
      </c>
      <c r="E146">
        <v>2120.61</v>
      </c>
      <c r="F146">
        <v>45241</v>
      </c>
    </row>
    <row r="147" spans="1:6" x14ac:dyDescent="0.3">
      <c r="A147" t="s">
        <v>594</v>
      </c>
      <c r="B147" t="s">
        <v>210</v>
      </c>
      <c r="C147" t="s">
        <v>353</v>
      </c>
      <c r="D147" t="s">
        <v>354</v>
      </c>
      <c r="E147">
        <v>894.39</v>
      </c>
      <c r="F147">
        <v>44931</v>
      </c>
    </row>
    <row r="148" spans="1:6" x14ac:dyDescent="0.3">
      <c r="A148" t="s">
        <v>595</v>
      </c>
      <c r="B148" t="s">
        <v>211</v>
      </c>
      <c r="C148" t="s">
        <v>353</v>
      </c>
      <c r="D148" t="s">
        <v>343</v>
      </c>
      <c r="E148">
        <v>4716.3100000000004</v>
      </c>
      <c r="F148">
        <v>45243</v>
      </c>
    </row>
    <row r="149" spans="1:6" x14ac:dyDescent="0.3">
      <c r="A149" t="s">
        <v>596</v>
      </c>
      <c r="B149" t="s">
        <v>212</v>
      </c>
      <c r="C149" t="s">
        <v>389</v>
      </c>
      <c r="D149" t="s">
        <v>354</v>
      </c>
      <c r="E149">
        <v>2992.11</v>
      </c>
      <c r="F149">
        <v>45266</v>
      </c>
    </row>
    <row r="150" spans="1:6" x14ac:dyDescent="0.3">
      <c r="A150" t="s">
        <v>597</v>
      </c>
      <c r="B150" t="s">
        <v>213</v>
      </c>
      <c r="C150" t="s">
        <v>389</v>
      </c>
      <c r="D150" t="s">
        <v>354</v>
      </c>
      <c r="E150">
        <v>1874.86</v>
      </c>
      <c r="F150">
        <v>45133</v>
      </c>
    </row>
    <row r="151" spans="1:6" x14ac:dyDescent="0.3">
      <c r="A151" t="s">
        <v>598</v>
      </c>
      <c r="B151" t="s">
        <v>214</v>
      </c>
      <c r="C151" t="s">
        <v>377</v>
      </c>
      <c r="D151" t="s">
        <v>354</v>
      </c>
      <c r="E151">
        <v>2286.42</v>
      </c>
      <c r="F151">
        <v>45154</v>
      </c>
    </row>
    <row r="152" spans="1:6" x14ac:dyDescent="0.3">
      <c r="A152" t="s">
        <v>599</v>
      </c>
      <c r="B152" t="s">
        <v>215</v>
      </c>
      <c r="C152" t="s">
        <v>342</v>
      </c>
      <c r="D152" t="s">
        <v>364</v>
      </c>
      <c r="E152">
        <v>2512.41</v>
      </c>
      <c r="F152">
        <v>44954</v>
      </c>
    </row>
    <row r="153" spans="1:6" x14ac:dyDescent="0.3">
      <c r="A153" t="s">
        <v>600</v>
      </c>
      <c r="B153" t="s">
        <v>216</v>
      </c>
      <c r="C153" t="s">
        <v>377</v>
      </c>
      <c r="D153" t="s">
        <v>364</v>
      </c>
      <c r="E153">
        <v>3202.67</v>
      </c>
      <c r="F153">
        <v>45030</v>
      </c>
    </row>
    <row r="154" spans="1:6" x14ac:dyDescent="0.3">
      <c r="A154" t="s">
        <v>601</v>
      </c>
      <c r="B154" t="s">
        <v>217</v>
      </c>
      <c r="C154" t="s">
        <v>389</v>
      </c>
      <c r="D154" t="s">
        <v>343</v>
      </c>
      <c r="E154">
        <v>2820.56</v>
      </c>
      <c r="F154">
        <v>45115</v>
      </c>
    </row>
    <row r="155" spans="1:6" x14ac:dyDescent="0.3">
      <c r="A155" t="s">
        <v>602</v>
      </c>
      <c r="B155" t="s">
        <v>218</v>
      </c>
      <c r="C155" t="s">
        <v>413</v>
      </c>
      <c r="D155" t="s">
        <v>343</v>
      </c>
      <c r="E155">
        <v>4637.26</v>
      </c>
      <c r="F155">
        <v>44991</v>
      </c>
    </row>
    <row r="156" spans="1:6" x14ac:dyDescent="0.3">
      <c r="A156" t="s">
        <v>603</v>
      </c>
      <c r="B156" t="s">
        <v>219</v>
      </c>
      <c r="C156" t="s">
        <v>389</v>
      </c>
      <c r="D156" t="s">
        <v>364</v>
      </c>
      <c r="E156">
        <v>2736.34</v>
      </c>
      <c r="F156">
        <v>44929</v>
      </c>
    </row>
    <row r="157" spans="1:6" x14ac:dyDescent="0.3">
      <c r="A157" t="s">
        <v>604</v>
      </c>
      <c r="B157" t="s">
        <v>220</v>
      </c>
      <c r="C157" t="s">
        <v>342</v>
      </c>
      <c r="D157" t="s">
        <v>343</v>
      </c>
      <c r="E157">
        <v>4964.71</v>
      </c>
      <c r="F157">
        <v>45252</v>
      </c>
    </row>
    <row r="158" spans="1:6" x14ac:dyDescent="0.3">
      <c r="A158" t="s">
        <v>605</v>
      </c>
      <c r="B158" t="s">
        <v>221</v>
      </c>
      <c r="C158" t="s">
        <v>389</v>
      </c>
      <c r="D158" t="s">
        <v>364</v>
      </c>
      <c r="E158">
        <v>4331.41</v>
      </c>
      <c r="F158">
        <v>45058</v>
      </c>
    </row>
    <row r="159" spans="1:6" x14ac:dyDescent="0.3">
      <c r="A159" t="s">
        <v>606</v>
      </c>
      <c r="B159" t="s">
        <v>222</v>
      </c>
      <c r="C159" t="s">
        <v>342</v>
      </c>
      <c r="D159" t="s">
        <v>354</v>
      </c>
      <c r="E159">
        <v>1438.3</v>
      </c>
      <c r="F159">
        <v>45119</v>
      </c>
    </row>
    <row r="160" spans="1:6" x14ac:dyDescent="0.3">
      <c r="A160" t="s">
        <v>607</v>
      </c>
      <c r="B160" t="s">
        <v>223</v>
      </c>
      <c r="C160" t="s">
        <v>342</v>
      </c>
      <c r="D160" t="s">
        <v>354</v>
      </c>
      <c r="E160">
        <v>4687.68</v>
      </c>
      <c r="F160">
        <v>45024</v>
      </c>
    </row>
    <row r="161" spans="1:6" x14ac:dyDescent="0.3">
      <c r="A161" t="s">
        <v>608</v>
      </c>
      <c r="B161" t="s">
        <v>224</v>
      </c>
      <c r="C161" t="s">
        <v>342</v>
      </c>
      <c r="D161" t="s">
        <v>343</v>
      </c>
      <c r="E161">
        <v>1023.65</v>
      </c>
      <c r="F161">
        <v>45277</v>
      </c>
    </row>
    <row r="162" spans="1:6" x14ac:dyDescent="0.3">
      <c r="A162" t="s">
        <v>609</v>
      </c>
      <c r="B162" t="s">
        <v>225</v>
      </c>
      <c r="C162" t="s">
        <v>342</v>
      </c>
      <c r="D162" t="s">
        <v>364</v>
      </c>
      <c r="E162">
        <v>4178.5200000000004</v>
      </c>
      <c r="F162">
        <v>45094</v>
      </c>
    </row>
    <row r="163" spans="1:6" x14ac:dyDescent="0.3">
      <c r="A163" t="s">
        <v>476</v>
      </c>
      <c r="B163" t="s">
        <v>226</v>
      </c>
      <c r="C163" t="s">
        <v>342</v>
      </c>
      <c r="D163" t="s">
        <v>364</v>
      </c>
      <c r="E163">
        <v>2212.8000000000002</v>
      </c>
      <c r="F163">
        <v>44927</v>
      </c>
    </row>
    <row r="164" spans="1:6" x14ac:dyDescent="0.3">
      <c r="A164" t="s">
        <v>610</v>
      </c>
      <c r="B164" t="s">
        <v>228</v>
      </c>
      <c r="C164" t="s">
        <v>413</v>
      </c>
      <c r="D164" t="s">
        <v>343</v>
      </c>
      <c r="E164">
        <v>4450.88</v>
      </c>
      <c r="F164">
        <v>45104</v>
      </c>
    </row>
    <row r="165" spans="1:6" x14ac:dyDescent="0.3">
      <c r="A165" t="s">
        <v>611</v>
      </c>
      <c r="B165" t="s">
        <v>229</v>
      </c>
      <c r="C165" t="s">
        <v>377</v>
      </c>
      <c r="D165" t="s">
        <v>364</v>
      </c>
      <c r="E165">
        <v>4406.26</v>
      </c>
      <c r="F165">
        <v>45135</v>
      </c>
    </row>
    <row r="166" spans="1:6" x14ac:dyDescent="0.3">
      <c r="A166" t="s">
        <v>612</v>
      </c>
      <c r="B166" t="s">
        <v>230</v>
      </c>
      <c r="C166" t="s">
        <v>353</v>
      </c>
      <c r="D166" t="s">
        <v>354</v>
      </c>
      <c r="E166">
        <v>4126.66</v>
      </c>
      <c r="F166">
        <v>45020</v>
      </c>
    </row>
    <row r="167" spans="1:6" x14ac:dyDescent="0.3">
      <c r="A167" t="s">
        <v>613</v>
      </c>
      <c r="B167" t="s">
        <v>231</v>
      </c>
      <c r="C167" t="s">
        <v>377</v>
      </c>
      <c r="D167" t="s">
        <v>343</v>
      </c>
      <c r="E167">
        <v>4055.14</v>
      </c>
      <c r="F167">
        <v>44938</v>
      </c>
    </row>
    <row r="168" spans="1:6" x14ac:dyDescent="0.3">
      <c r="A168" t="s">
        <v>614</v>
      </c>
      <c r="B168" t="s">
        <v>232</v>
      </c>
      <c r="C168" t="s">
        <v>342</v>
      </c>
      <c r="D168" t="s">
        <v>343</v>
      </c>
      <c r="E168">
        <v>1871.06</v>
      </c>
      <c r="F168">
        <v>45245</v>
      </c>
    </row>
    <row r="169" spans="1:6" x14ac:dyDescent="0.3">
      <c r="A169" t="s">
        <v>615</v>
      </c>
      <c r="B169" t="s">
        <v>233</v>
      </c>
      <c r="C169" t="s">
        <v>413</v>
      </c>
      <c r="D169" t="s">
        <v>364</v>
      </c>
      <c r="E169">
        <v>864.14</v>
      </c>
      <c r="F169">
        <v>45198</v>
      </c>
    </row>
    <row r="170" spans="1:6" x14ac:dyDescent="0.3">
      <c r="A170" t="s">
        <v>616</v>
      </c>
      <c r="B170" t="s">
        <v>234</v>
      </c>
      <c r="C170" t="s">
        <v>389</v>
      </c>
      <c r="D170" t="s">
        <v>343</v>
      </c>
      <c r="E170">
        <v>2313.41</v>
      </c>
      <c r="F170">
        <v>45131</v>
      </c>
    </row>
    <row r="171" spans="1:6" x14ac:dyDescent="0.3">
      <c r="A171" t="s">
        <v>617</v>
      </c>
      <c r="B171" t="s">
        <v>235</v>
      </c>
      <c r="C171" t="s">
        <v>413</v>
      </c>
      <c r="D171" t="s">
        <v>364</v>
      </c>
      <c r="E171">
        <v>1280.8599999999999</v>
      </c>
      <c r="F171">
        <v>44988</v>
      </c>
    </row>
    <row r="172" spans="1:6" x14ac:dyDescent="0.3">
      <c r="A172" t="s">
        <v>618</v>
      </c>
      <c r="B172" t="s">
        <v>236</v>
      </c>
      <c r="C172" t="s">
        <v>342</v>
      </c>
      <c r="D172" t="s">
        <v>364</v>
      </c>
      <c r="E172">
        <v>3627.28</v>
      </c>
      <c r="F172">
        <v>45034</v>
      </c>
    </row>
    <row r="173" spans="1:6" x14ac:dyDescent="0.3">
      <c r="A173" t="s">
        <v>619</v>
      </c>
      <c r="B173" t="s">
        <v>237</v>
      </c>
      <c r="C173" t="s">
        <v>413</v>
      </c>
      <c r="D173" t="s">
        <v>364</v>
      </c>
      <c r="E173">
        <v>2057.4499999999998</v>
      </c>
      <c r="F173">
        <v>44994</v>
      </c>
    </row>
    <row r="174" spans="1:6" x14ac:dyDescent="0.3">
      <c r="A174" t="s">
        <v>620</v>
      </c>
      <c r="B174" t="s">
        <v>238</v>
      </c>
      <c r="C174" t="s">
        <v>413</v>
      </c>
      <c r="D174" t="s">
        <v>364</v>
      </c>
      <c r="E174">
        <v>4890.25</v>
      </c>
      <c r="F174">
        <v>45081</v>
      </c>
    </row>
    <row r="175" spans="1:6" x14ac:dyDescent="0.3">
      <c r="A175" t="s">
        <v>621</v>
      </c>
      <c r="B175" t="s">
        <v>239</v>
      </c>
      <c r="C175" t="s">
        <v>342</v>
      </c>
      <c r="D175" t="s">
        <v>364</v>
      </c>
      <c r="E175">
        <v>3384.37</v>
      </c>
      <c r="F175">
        <v>45230</v>
      </c>
    </row>
    <row r="176" spans="1:6" x14ac:dyDescent="0.3">
      <c r="A176" t="s">
        <v>622</v>
      </c>
      <c r="B176" t="s">
        <v>240</v>
      </c>
      <c r="C176" t="s">
        <v>413</v>
      </c>
      <c r="D176" t="s">
        <v>343</v>
      </c>
      <c r="E176">
        <v>4201.16</v>
      </c>
      <c r="F176">
        <v>45221</v>
      </c>
    </row>
    <row r="177" spans="1:6" x14ac:dyDescent="0.3">
      <c r="A177" t="s">
        <v>623</v>
      </c>
      <c r="B177" t="s">
        <v>241</v>
      </c>
      <c r="C177" t="s">
        <v>353</v>
      </c>
      <c r="D177" t="s">
        <v>354</v>
      </c>
      <c r="E177">
        <v>1096.3599999999999</v>
      </c>
      <c r="F177">
        <v>45042</v>
      </c>
    </row>
    <row r="178" spans="1:6" x14ac:dyDescent="0.3">
      <c r="A178" t="s">
        <v>624</v>
      </c>
      <c r="B178" t="s">
        <v>242</v>
      </c>
      <c r="C178" t="s">
        <v>353</v>
      </c>
      <c r="D178" t="s">
        <v>354</v>
      </c>
      <c r="E178">
        <v>4379.07</v>
      </c>
      <c r="F178">
        <v>45154</v>
      </c>
    </row>
    <row r="179" spans="1:6" x14ac:dyDescent="0.3">
      <c r="A179" t="s">
        <v>625</v>
      </c>
      <c r="B179" t="s">
        <v>243</v>
      </c>
      <c r="C179" t="s">
        <v>413</v>
      </c>
      <c r="D179" t="s">
        <v>343</v>
      </c>
      <c r="E179">
        <v>4652.41</v>
      </c>
      <c r="F179">
        <v>44943</v>
      </c>
    </row>
    <row r="180" spans="1:6" x14ac:dyDescent="0.3">
      <c r="A180" t="s">
        <v>478</v>
      </c>
      <c r="B180" t="s">
        <v>244</v>
      </c>
      <c r="C180" t="s">
        <v>389</v>
      </c>
      <c r="D180" t="s">
        <v>343</v>
      </c>
      <c r="E180">
        <v>2691.78</v>
      </c>
      <c r="F180">
        <v>44993</v>
      </c>
    </row>
    <row r="181" spans="1:6" x14ac:dyDescent="0.3">
      <c r="A181" t="s">
        <v>626</v>
      </c>
      <c r="B181" t="s">
        <v>246</v>
      </c>
      <c r="C181" t="s">
        <v>342</v>
      </c>
      <c r="D181" t="s">
        <v>354</v>
      </c>
      <c r="E181">
        <v>3228.14</v>
      </c>
      <c r="F181">
        <v>44933</v>
      </c>
    </row>
    <row r="182" spans="1:6" x14ac:dyDescent="0.3">
      <c r="A182" t="s">
        <v>627</v>
      </c>
      <c r="B182" t="s">
        <v>247</v>
      </c>
      <c r="C182" t="s">
        <v>353</v>
      </c>
      <c r="D182" t="s">
        <v>354</v>
      </c>
      <c r="E182">
        <v>3941.64</v>
      </c>
      <c r="F182">
        <v>45172</v>
      </c>
    </row>
    <row r="183" spans="1:6" x14ac:dyDescent="0.3">
      <c r="A183" t="s">
        <v>628</v>
      </c>
      <c r="B183" t="s">
        <v>248</v>
      </c>
      <c r="C183" t="s">
        <v>389</v>
      </c>
      <c r="D183" t="s">
        <v>354</v>
      </c>
      <c r="E183">
        <v>1286.77</v>
      </c>
      <c r="F183">
        <v>45028</v>
      </c>
    </row>
    <row r="184" spans="1:6" x14ac:dyDescent="0.3">
      <c r="A184" t="s">
        <v>629</v>
      </c>
      <c r="B184" t="s">
        <v>249</v>
      </c>
      <c r="C184" t="s">
        <v>413</v>
      </c>
      <c r="D184" t="s">
        <v>354</v>
      </c>
      <c r="E184">
        <v>2761.55</v>
      </c>
      <c r="F184">
        <v>44960</v>
      </c>
    </row>
    <row r="185" spans="1:6" x14ac:dyDescent="0.3">
      <c r="A185" t="s">
        <v>630</v>
      </c>
      <c r="B185" t="s">
        <v>250</v>
      </c>
      <c r="C185" t="s">
        <v>389</v>
      </c>
      <c r="D185" t="s">
        <v>354</v>
      </c>
      <c r="E185">
        <v>2293.98</v>
      </c>
      <c r="F185">
        <v>44983</v>
      </c>
    </row>
    <row r="186" spans="1:6" x14ac:dyDescent="0.3">
      <c r="A186" t="s">
        <v>631</v>
      </c>
      <c r="B186" t="s">
        <v>251</v>
      </c>
      <c r="C186" t="s">
        <v>377</v>
      </c>
      <c r="D186" t="s">
        <v>364</v>
      </c>
      <c r="E186">
        <v>1158.68</v>
      </c>
      <c r="F186">
        <v>45006</v>
      </c>
    </row>
    <row r="187" spans="1:6" x14ac:dyDescent="0.3">
      <c r="A187" t="s">
        <v>632</v>
      </c>
      <c r="B187" t="s">
        <v>252</v>
      </c>
      <c r="C187" t="s">
        <v>353</v>
      </c>
      <c r="D187" t="s">
        <v>343</v>
      </c>
      <c r="E187">
        <v>2153.9</v>
      </c>
      <c r="F187">
        <v>45012</v>
      </c>
    </row>
    <row r="188" spans="1:6" x14ac:dyDescent="0.3">
      <c r="A188" t="s">
        <v>633</v>
      </c>
      <c r="B188" t="s">
        <v>253</v>
      </c>
      <c r="C188" t="s">
        <v>413</v>
      </c>
      <c r="D188" t="s">
        <v>364</v>
      </c>
      <c r="E188">
        <v>806.78</v>
      </c>
      <c r="F188">
        <v>44970</v>
      </c>
    </row>
    <row r="189" spans="1:6" x14ac:dyDescent="0.3">
      <c r="A189" t="s">
        <v>634</v>
      </c>
      <c r="B189" t="s">
        <v>254</v>
      </c>
      <c r="C189" t="s">
        <v>342</v>
      </c>
      <c r="D189" t="s">
        <v>354</v>
      </c>
      <c r="E189">
        <v>616.15</v>
      </c>
      <c r="F189">
        <v>45028</v>
      </c>
    </row>
    <row r="190" spans="1:6" x14ac:dyDescent="0.3">
      <c r="A190" t="s">
        <v>635</v>
      </c>
      <c r="B190" t="s">
        <v>255</v>
      </c>
      <c r="C190" t="s">
        <v>413</v>
      </c>
      <c r="D190" t="s">
        <v>354</v>
      </c>
      <c r="E190">
        <v>1108.25</v>
      </c>
      <c r="F190">
        <v>45204</v>
      </c>
    </row>
    <row r="191" spans="1:6" x14ac:dyDescent="0.3">
      <c r="A191" t="s">
        <v>636</v>
      </c>
      <c r="B191" t="s">
        <v>256</v>
      </c>
      <c r="C191" t="s">
        <v>342</v>
      </c>
      <c r="D191" t="s">
        <v>354</v>
      </c>
      <c r="E191">
        <v>4834.0200000000004</v>
      </c>
      <c r="F191">
        <v>45246</v>
      </c>
    </row>
    <row r="192" spans="1:6" x14ac:dyDescent="0.3">
      <c r="A192" t="s">
        <v>637</v>
      </c>
      <c r="B192" t="s">
        <v>257</v>
      </c>
      <c r="C192" t="s">
        <v>413</v>
      </c>
      <c r="D192" t="s">
        <v>364</v>
      </c>
      <c r="E192">
        <v>2972.88</v>
      </c>
      <c r="F192">
        <v>45028</v>
      </c>
    </row>
    <row r="193" spans="1:6" x14ac:dyDescent="0.3">
      <c r="A193" t="s">
        <v>638</v>
      </c>
      <c r="B193" t="s">
        <v>258</v>
      </c>
      <c r="C193" t="s">
        <v>389</v>
      </c>
      <c r="D193" t="s">
        <v>364</v>
      </c>
      <c r="E193">
        <v>4846.2</v>
      </c>
      <c r="F193">
        <v>45169</v>
      </c>
    </row>
    <row r="194" spans="1:6" x14ac:dyDescent="0.3">
      <c r="A194" t="s">
        <v>639</v>
      </c>
      <c r="B194" t="s">
        <v>259</v>
      </c>
      <c r="C194" t="s">
        <v>389</v>
      </c>
      <c r="D194" t="s">
        <v>354</v>
      </c>
      <c r="E194">
        <v>2446.2399999999998</v>
      </c>
      <c r="F194">
        <v>45184</v>
      </c>
    </row>
    <row r="195" spans="1:6" x14ac:dyDescent="0.3">
      <c r="A195" t="s">
        <v>640</v>
      </c>
      <c r="B195" t="s">
        <v>260</v>
      </c>
      <c r="C195" t="s">
        <v>389</v>
      </c>
      <c r="D195" t="s">
        <v>364</v>
      </c>
      <c r="E195">
        <v>1903.17</v>
      </c>
      <c r="F195">
        <v>45022</v>
      </c>
    </row>
    <row r="196" spans="1:6" x14ac:dyDescent="0.3">
      <c r="A196" t="s">
        <v>641</v>
      </c>
      <c r="B196" t="s">
        <v>261</v>
      </c>
      <c r="C196" t="s">
        <v>377</v>
      </c>
      <c r="D196" t="s">
        <v>364</v>
      </c>
      <c r="E196">
        <v>2777.64</v>
      </c>
      <c r="F196">
        <v>45157</v>
      </c>
    </row>
    <row r="197" spans="1:6" x14ac:dyDescent="0.3">
      <c r="A197" t="s">
        <v>642</v>
      </c>
      <c r="B197" t="s">
        <v>262</v>
      </c>
      <c r="C197" t="s">
        <v>342</v>
      </c>
      <c r="D197" t="s">
        <v>354</v>
      </c>
      <c r="E197">
        <v>2477.8000000000002</v>
      </c>
      <c r="F197">
        <v>45225</v>
      </c>
    </row>
    <row r="198" spans="1:6" x14ac:dyDescent="0.3">
      <c r="A198" t="s">
        <v>643</v>
      </c>
      <c r="B198" t="s">
        <v>263</v>
      </c>
      <c r="C198" t="s">
        <v>389</v>
      </c>
      <c r="D198" t="s">
        <v>364</v>
      </c>
      <c r="E198">
        <v>975.49</v>
      </c>
      <c r="F198">
        <v>45017</v>
      </c>
    </row>
    <row r="199" spans="1:6" x14ac:dyDescent="0.3">
      <c r="A199" t="s">
        <v>644</v>
      </c>
      <c r="B199" t="s">
        <v>264</v>
      </c>
      <c r="C199" t="s">
        <v>377</v>
      </c>
      <c r="D199" t="s">
        <v>343</v>
      </c>
      <c r="E199">
        <v>3383.72</v>
      </c>
      <c r="F199">
        <v>45061</v>
      </c>
    </row>
    <row r="200" spans="1:6" x14ac:dyDescent="0.3">
      <c r="A200" t="s">
        <v>645</v>
      </c>
      <c r="B200" t="s">
        <v>265</v>
      </c>
      <c r="C200" t="s">
        <v>342</v>
      </c>
      <c r="D200" t="s">
        <v>343</v>
      </c>
      <c r="E200">
        <v>1472.17</v>
      </c>
      <c r="F200">
        <v>45047</v>
      </c>
    </row>
    <row r="201" spans="1:6" x14ac:dyDescent="0.3">
      <c r="A201" t="s">
        <v>646</v>
      </c>
      <c r="B201" t="s">
        <v>266</v>
      </c>
      <c r="C201" t="s">
        <v>413</v>
      </c>
      <c r="D201" t="s">
        <v>343</v>
      </c>
      <c r="E201">
        <v>3288.15</v>
      </c>
      <c r="F201">
        <v>45290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9F00-3917-429D-9EED-7338613880E8}">
  <dimension ref="A1:K51"/>
  <sheetViews>
    <sheetView workbookViewId="0">
      <selection activeCell="I9" sqref="I9"/>
    </sheetView>
  </sheetViews>
  <sheetFormatPr defaultRowHeight="14.4" x14ac:dyDescent="0.3"/>
  <cols>
    <col min="1" max="1" width="11.44140625" customWidth="1"/>
    <col min="2" max="2" width="11.88671875" customWidth="1"/>
    <col min="3" max="3" width="11.5546875" customWidth="1"/>
    <col min="5" max="5" width="14.44140625" customWidth="1"/>
    <col min="6" max="6" width="16.88671875" customWidth="1"/>
    <col min="7" max="7" width="9.33203125" customWidth="1"/>
    <col min="8" max="8" width="17.21875" customWidth="1"/>
    <col min="9" max="9" width="19.109375" customWidth="1"/>
    <col min="10" max="10" width="18.6640625" customWidth="1"/>
    <col min="11" max="11" width="24" bestFit="1" customWidth="1"/>
  </cols>
  <sheetData>
    <row r="1" spans="1:11" x14ac:dyDescent="0.3">
      <c r="A1" t="s">
        <v>647</v>
      </c>
      <c r="B1" t="s">
        <v>648</v>
      </c>
      <c r="C1" t="s">
        <v>649</v>
      </c>
      <c r="D1" t="s">
        <v>650</v>
      </c>
      <c r="E1" t="s">
        <v>651</v>
      </c>
      <c r="F1" t="s">
        <v>652</v>
      </c>
      <c r="G1" t="s">
        <v>653</v>
      </c>
      <c r="H1" t="s">
        <v>654</v>
      </c>
      <c r="I1" t="s">
        <v>655</v>
      </c>
      <c r="J1" t="s">
        <v>656</v>
      </c>
      <c r="K1" t="s">
        <v>657</v>
      </c>
    </row>
    <row r="2" spans="1:11" x14ac:dyDescent="0.3">
      <c r="A2" t="s">
        <v>24</v>
      </c>
      <c r="B2" t="s">
        <v>360</v>
      </c>
      <c r="C2" t="s">
        <v>378</v>
      </c>
      <c r="D2" t="s">
        <v>346</v>
      </c>
      <c r="E2" s="1">
        <v>20244</v>
      </c>
      <c r="F2">
        <v>6939585183</v>
      </c>
      <c r="G2" t="s">
        <v>386</v>
      </c>
      <c r="H2" s="1">
        <v>44735</v>
      </c>
      <c r="I2" t="s">
        <v>348</v>
      </c>
      <c r="J2" t="s">
        <v>387</v>
      </c>
      <c r="K2" t="s">
        <v>658</v>
      </c>
    </row>
    <row r="3" spans="1:11" x14ac:dyDescent="0.3">
      <c r="A3" t="s">
        <v>105</v>
      </c>
      <c r="B3" t="s">
        <v>365</v>
      </c>
      <c r="C3" t="s">
        <v>345</v>
      </c>
      <c r="D3" t="s">
        <v>346</v>
      </c>
      <c r="E3" s="1">
        <v>30967</v>
      </c>
      <c r="F3">
        <v>8228188767</v>
      </c>
      <c r="G3" t="s">
        <v>347</v>
      </c>
      <c r="H3" s="1">
        <v>44576</v>
      </c>
      <c r="I3" t="s">
        <v>367</v>
      </c>
      <c r="J3" t="s">
        <v>445</v>
      </c>
      <c r="K3" t="s">
        <v>659</v>
      </c>
    </row>
    <row r="4" spans="1:11" x14ac:dyDescent="0.3">
      <c r="A4" t="s">
        <v>40</v>
      </c>
      <c r="B4" t="s">
        <v>404</v>
      </c>
      <c r="C4" t="s">
        <v>361</v>
      </c>
      <c r="D4" t="s">
        <v>356</v>
      </c>
      <c r="E4" s="1">
        <v>28358</v>
      </c>
      <c r="F4">
        <v>8397029847</v>
      </c>
      <c r="G4" t="s">
        <v>347</v>
      </c>
      <c r="H4" s="1">
        <v>44599</v>
      </c>
      <c r="I4" t="s">
        <v>367</v>
      </c>
      <c r="J4" t="s">
        <v>405</v>
      </c>
      <c r="K4" t="s">
        <v>660</v>
      </c>
    </row>
    <row r="5" spans="1:11" x14ac:dyDescent="0.3">
      <c r="A5" t="s">
        <v>99</v>
      </c>
      <c r="B5" t="s">
        <v>390</v>
      </c>
      <c r="C5" t="s">
        <v>432</v>
      </c>
      <c r="D5" t="s">
        <v>346</v>
      </c>
      <c r="E5" s="1">
        <v>29637</v>
      </c>
      <c r="F5">
        <v>9019443432</v>
      </c>
      <c r="G5" t="s">
        <v>357</v>
      </c>
      <c r="H5" s="1">
        <v>44257</v>
      </c>
      <c r="I5" t="s">
        <v>372</v>
      </c>
      <c r="J5" t="s">
        <v>441</v>
      </c>
      <c r="K5" t="s">
        <v>661</v>
      </c>
    </row>
    <row r="6" spans="1:11" x14ac:dyDescent="0.3">
      <c r="A6" t="s">
        <v>33</v>
      </c>
      <c r="B6" t="s">
        <v>360</v>
      </c>
      <c r="C6" t="s">
        <v>371</v>
      </c>
      <c r="D6" t="s">
        <v>356</v>
      </c>
      <c r="E6" s="1">
        <v>22090</v>
      </c>
      <c r="F6">
        <v>7734463155</v>
      </c>
      <c r="G6" t="s">
        <v>357</v>
      </c>
      <c r="H6" s="1">
        <v>44468</v>
      </c>
      <c r="I6" t="s">
        <v>358</v>
      </c>
      <c r="J6" t="s">
        <v>396</v>
      </c>
      <c r="K6" t="s">
        <v>662</v>
      </c>
    </row>
    <row r="7" spans="1:11" x14ac:dyDescent="0.3">
      <c r="A7" t="s">
        <v>663</v>
      </c>
      <c r="B7" t="s">
        <v>383</v>
      </c>
      <c r="C7" t="s">
        <v>361</v>
      </c>
      <c r="D7" t="s">
        <v>356</v>
      </c>
      <c r="E7" s="1">
        <v>23178</v>
      </c>
      <c r="F7">
        <v>7561777264</v>
      </c>
      <c r="G7" t="s">
        <v>347</v>
      </c>
      <c r="H7" s="1">
        <v>44836</v>
      </c>
      <c r="I7" t="s">
        <v>372</v>
      </c>
      <c r="J7" t="s">
        <v>664</v>
      </c>
      <c r="K7" t="s">
        <v>665</v>
      </c>
    </row>
    <row r="8" spans="1:11" x14ac:dyDescent="0.3">
      <c r="A8" t="s">
        <v>156</v>
      </c>
      <c r="B8" t="s">
        <v>344</v>
      </c>
      <c r="C8" t="s">
        <v>432</v>
      </c>
      <c r="D8" t="s">
        <v>346</v>
      </c>
      <c r="E8" s="1">
        <v>32667</v>
      </c>
      <c r="F8">
        <v>6278710077</v>
      </c>
      <c r="G8" t="s">
        <v>386</v>
      </c>
      <c r="H8" s="1">
        <v>44555</v>
      </c>
      <c r="I8" t="s">
        <v>358</v>
      </c>
      <c r="J8" t="s">
        <v>467</v>
      </c>
      <c r="K8" t="s">
        <v>666</v>
      </c>
    </row>
    <row r="9" spans="1:11" x14ac:dyDescent="0.3">
      <c r="A9" t="s">
        <v>147</v>
      </c>
      <c r="B9" t="s">
        <v>360</v>
      </c>
      <c r="C9" t="s">
        <v>374</v>
      </c>
      <c r="D9" t="s">
        <v>346</v>
      </c>
      <c r="E9" s="1">
        <v>27946</v>
      </c>
      <c r="F9">
        <v>7090558393</v>
      </c>
      <c r="G9" t="s">
        <v>379</v>
      </c>
      <c r="H9" s="1">
        <v>44341</v>
      </c>
      <c r="I9" t="s">
        <v>348</v>
      </c>
      <c r="J9" t="s">
        <v>463</v>
      </c>
      <c r="K9" t="s">
        <v>667</v>
      </c>
    </row>
    <row r="10" spans="1:11" x14ac:dyDescent="0.3">
      <c r="A10" t="s">
        <v>170</v>
      </c>
      <c r="B10" t="s">
        <v>404</v>
      </c>
      <c r="C10" t="s">
        <v>374</v>
      </c>
      <c r="D10" t="s">
        <v>356</v>
      </c>
      <c r="E10" s="1">
        <v>26278</v>
      </c>
      <c r="F10">
        <v>7060324619</v>
      </c>
      <c r="G10" t="s">
        <v>347</v>
      </c>
      <c r="H10" s="1">
        <v>44822</v>
      </c>
      <c r="I10" t="s">
        <v>367</v>
      </c>
      <c r="J10" t="s">
        <v>471</v>
      </c>
      <c r="K10" t="s">
        <v>668</v>
      </c>
    </row>
    <row r="11" spans="1:11" x14ac:dyDescent="0.3">
      <c r="A11" t="s">
        <v>85</v>
      </c>
      <c r="B11" t="s">
        <v>390</v>
      </c>
      <c r="C11" t="s">
        <v>391</v>
      </c>
      <c r="D11" t="s">
        <v>356</v>
      </c>
      <c r="E11" s="1">
        <v>37177</v>
      </c>
      <c r="F11">
        <v>7081396733</v>
      </c>
      <c r="G11" t="s">
        <v>357</v>
      </c>
      <c r="H11" s="1">
        <v>44797</v>
      </c>
      <c r="I11" t="s">
        <v>348</v>
      </c>
      <c r="J11" t="s">
        <v>435</v>
      </c>
      <c r="K11" t="s">
        <v>669</v>
      </c>
    </row>
    <row r="12" spans="1:11" x14ac:dyDescent="0.3">
      <c r="A12" t="s">
        <v>161</v>
      </c>
      <c r="B12" t="s">
        <v>365</v>
      </c>
      <c r="C12" t="s">
        <v>361</v>
      </c>
      <c r="D12" t="s">
        <v>346</v>
      </c>
      <c r="E12" s="1">
        <v>24445</v>
      </c>
      <c r="F12">
        <v>8990604070</v>
      </c>
      <c r="G12" t="s">
        <v>386</v>
      </c>
      <c r="H12" s="1">
        <v>44831</v>
      </c>
      <c r="I12" t="s">
        <v>358</v>
      </c>
      <c r="J12" t="s">
        <v>469</v>
      </c>
      <c r="K12" t="s">
        <v>670</v>
      </c>
    </row>
    <row r="13" spans="1:11" x14ac:dyDescent="0.3">
      <c r="A13" t="s">
        <v>43</v>
      </c>
      <c r="B13" t="s">
        <v>404</v>
      </c>
      <c r="C13" t="s">
        <v>374</v>
      </c>
      <c r="D13" t="s">
        <v>346</v>
      </c>
      <c r="E13" s="1">
        <v>33580</v>
      </c>
      <c r="F13">
        <v>8135666049</v>
      </c>
      <c r="G13" t="s">
        <v>347</v>
      </c>
      <c r="H13" s="1">
        <v>45043</v>
      </c>
      <c r="I13" t="s">
        <v>358</v>
      </c>
      <c r="J13" t="s">
        <v>407</v>
      </c>
      <c r="K13" t="s">
        <v>668</v>
      </c>
    </row>
    <row r="14" spans="1:11" x14ac:dyDescent="0.3">
      <c r="A14" t="s">
        <v>135</v>
      </c>
      <c r="B14" t="s">
        <v>404</v>
      </c>
      <c r="C14" t="s">
        <v>432</v>
      </c>
      <c r="D14" t="s">
        <v>346</v>
      </c>
      <c r="E14" s="1">
        <v>32960</v>
      </c>
      <c r="F14">
        <v>9059178882</v>
      </c>
      <c r="G14" t="s">
        <v>347</v>
      </c>
      <c r="H14" s="1">
        <v>44553</v>
      </c>
      <c r="I14" t="s">
        <v>348</v>
      </c>
      <c r="J14" t="s">
        <v>459</v>
      </c>
      <c r="K14" t="s">
        <v>671</v>
      </c>
    </row>
    <row r="15" spans="1:11" x14ac:dyDescent="0.3">
      <c r="A15" t="s">
        <v>54</v>
      </c>
      <c r="B15" t="s">
        <v>344</v>
      </c>
      <c r="C15" t="s">
        <v>391</v>
      </c>
      <c r="D15" t="s">
        <v>356</v>
      </c>
      <c r="E15" s="1">
        <v>24895</v>
      </c>
      <c r="F15">
        <v>7292262512</v>
      </c>
      <c r="G15" t="s">
        <v>386</v>
      </c>
      <c r="H15" s="1">
        <v>45272</v>
      </c>
      <c r="I15" t="s">
        <v>358</v>
      </c>
      <c r="J15" t="s">
        <v>414</v>
      </c>
      <c r="K15" t="s">
        <v>672</v>
      </c>
    </row>
    <row r="16" spans="1:11" x14ac:dyDescent="0.3">
      <c r="A16" t="s">
        <v>673</v>
      </c>
      <c r="B16" t="s">
        <v>350</v>
      </c>
      <c r="C16" t="s">
        <v>432</v>
      </c>
      <c r="D16" t="s">
        <v>356</v>
      </c>
      <c r="E16" s="1">
        <v>23508</v>
      </c>
      <c r="F16">
        <v>6636028516</v>
      </c>
      <c r="G16" t="s">
        <v>347</v>
      </c>
      <c r="H16" s="1">
        <v>44464</v>
      </c>
      <c r="I16" t="s">
        <v>348</v>
      </c>
      <c r="J16" t="s">
        <v>674</v>
      </c>
      <c r="K16" t="s">
        <v>675</v>
      </c>
    </row>
    <row r="17" spans="1:11" x14ac:dyDescent="0.3">
      <c r="A17" t="s">
        <v>27</v>
      </c>
      <c r="B17" t="s">
        <v>390</v>
      </c>
      <c r="C17" t="s">
        <v>391</v>
      </c>
      <c r="D17" t="s">
        <v>356</v>
      </c>
      <c r="E17" s="1">
        <v>36729</v>
      </c>
      <c r="F17">
        <v>7223380592</v>
      </c>
      <c r="G17" t="s">
        <v>386</v>
      </c>
      <c r="H17" s="1">
        <v>44400</v>
      </c>
      <c r="I17" t="s">
        <v>367</v>
      </c>
      <c r="J17" t="s">
        <v>392</v>
      </c>
      <c r="K17" t="s">
        <v>669</v>
      </c>
    </row>
    <row r="18" spans="1:11" x14ac:dyDescent="0.3">
      <c r="A18" t="s">
        <v>144</v>
      </c>
      <c r="B18" t="s">
        <v>381</v>
      </c>
      <c r="C18" t="s">
        <v>361</v>
      </c>
      <c r="D18" t="s">
        <v>356</v>
      </c>
      <c r="E18" s="1">
        <v>33359</v>
      </c>
      <c r="F18">
        <v>6158428240</v>
      </c>
      <c r="G18" t="s">
        <v>379</v>
      </c>
      <c r="H18" s="1">
        <v>44830</v>
      </c>
      <c r="I18" t="s">
        <v>348</v>
      </c>
      <c r="J18" t="s">
        <v>461</v>
      </c>
      <c r="K18" t="s">
        <v>676</v>
      </c>
    </row>
    <row r="19" spans="1:11" x14ac:dyDescent="0.3">
      <c r="A19" t="s">
        <v>178</v>
      </c>
      <c r="B19" t="s">
        <v>404</v>
      </c>
      <c r="C19" t="s">
        <v>371</v>
      </c>
      <c r="D19" t="s">
        <v>356</v>
      </c>
      <c r="E19" s="1">
        <v>29122</v>
      </c>
      <c r="F19">
        <v>7145815738</v>
      </c>
      <c r="G19" t="s">
        <v>386</v>
      </c>
      <c r="H19" s="1">
        <v>44827</v>
      </c>
      <c r="I19" t="s">
        <v>367</v>
      </c>
      <c r="J19" t="s">
        <v>473</v>
      </c>
      <c r="K19" t="s">
        <v>677</v>
      </c>
    </row>
    <row r="20" spans="1:11" x14ac:dyDescent="0.3">
      <c r="A20" t="s">
        <v>93</v>
      </c>
      <c r="B20" t="s">
        <v>350</v>
      </c>
      <c r="C20" t="s">
        <v>366</v>
      </c>
      <c r="D20" t="s">
        <v>356</v>
      </c>
      <c r="E20" s="1">
        <v>27538</v>
      </c>
      <c r="F20">
        <v>8618058864</v>
      </c>
      <c r="G20" t="s">
        <v>386</v>
      </c>
      <c r="H20" s="1">
        <v>45101</v>
      </c>
      <c r="I20" t="s">
        <v>348</v>
      </c>
      <c r="J20" t="s">
        <v>439</v>
      </c>
      <c r="K20" t="s">
        <v>678</v>
      </c>
    </row>
    <row r="21" spans="1:11" x14ac:dyDescent="0.3">
      <c r="A21" t="s">
        <v>112</v>
      </c>
      <c r="B21" t="s">
        <v>381</v>
      </c>
      <c r="C21" t="s">
        <v>355</v>
      </c>
      <c r="D21" t="s">
        <v>346</v>
      </c>
      <c r="E21" s="1">
        <v>37778</v>
      </c>
      <c r="F21">
        <v>8158989953</v>
      </c>
      <c r="G21" t="s">
        <v>386</v>
      </c>
      <c r="H21" s="1">
        <v>44654</v>
      </c>
      <c r="I21" t="s">
        <v>358</v>
      </c>
      <c r="J21" t="s">
        <v>449</v>
      </c>
      <c r="K21" t="s">
        <v>679</v>
      </c>
    </row>
    <row r="22" spans="1:11" x14ac:dyDescent="0.3">
      <c r="A22" t="s">
        <v>74</v>
      </c>
      <c r="B22" t="s">
        <v>390</v>
      </c>
      <c r="C22" t="s">
        <v>371</v>
      </c>
      <c r="D22" t="s">
        <v>356</v>
      </c>
      <c r="E22" s="1">
        <v>37316</v>
      </c>
      <c r="F22">
        <v>7765390555</v>
      </c>
      <c r="G22" t="s">
        <v>347</v>
      </c>
      <c r="H22" s="1">
        <v>44580</v>
      </c>
      <c r="I22" t="s">
        <v>348</v>
      </c>
      <c r="J22" t="s">
        <v>426</v>
      </c>
      <c r="K22" t="s">
        <v>680</v>
      </c>
    </row>
    <row r="23" spans="1:11" x14ac:dyDescent="0.3">
      <c r="A23" t="s">
        <v>36</v>
      </c>
      <c r="B23" t="s">
        <v>398</v>
      </c>
      <c r="C23" t="s">
        <v>399</v>
      </c>
      <c r="D23" t="s">
        <v>356</v>
      </c>
      <c r="E23" s="1">
        <v>20219</v>
      </c>
      <c r="F23">
        <v>6221099573</v>
      </c>
      <c r="G23" t="s">
        <v>347</v>
      </c>
      <c r="H23" s="1">
        <v>44327</v>
      </c>
      <c r="I23" t="s">
        <v>358</v>
      </c>
      <c r="J23" t="s">
        <v>400</v>
      </c>
      <c r="K23" t="s">
        <v>681</v>
      </c>
    </row>
    <row r="24" spans="1:11" x14ac:dyDescent="0.3">
      <c r="A24" t="s">
        <v>83</v>
      </c>
      <c r="B24" t="s">
        <v>383</v>
      </c>
      <c r="C24" t="s">
        <v>432</v>
      </c>
      <c r="D24" t="s">
        <v>356</v>
      </c>
      <c r="E24" s="1">
        <v>34387</v>
      </c>
      <c r="F24">
        <v>6141951830</v>
      </c>
      <c r="G24" t="s">
        <v>386</v>
      </c>
      <c r="H24" s="1">
        <v>44557</v>
      </c>
      <c r="I24" t="s">
        <v>348</v>
      </c>
      <c r="J24" t="s">
        <v>433</v>
      </c>
      <c r="K24" t="s">
        <v>682</v>
      </c>
    </row>
    <row r="25" spans="1:11" x14ac:dyDescent="0.3">
      <c r="A25" t="s">
        <v>102</v>
      </c>
      <c r="B25" t="s">
        <v>350</v>
      </c>
      <c r="C25" t="s">
        <v>399</v>
      </c>
      <c r="D25" t="s">
        <v>346</v>
      </c>
      <c r="E25" s="1">
        <v>33546</v>
      </c>
      <c r="F25">
        <v>7196777444</v>
      </c>
      <c r="G25" t="s">
        <v>347</v>
      </c>
      <c r="H25" s="1">
        <v>44441</v>
      </c>
      <c r="I25" t="s">
        <v>348</v>
      </c>
      <c r="J25" t="s">
        <v>443</v>
      </c>
      <c r="K25" t="s">
        <v>683</v>
      </c>
    </row>
    <row r="26" spans="1:11" x14ac:dyDescent="0.3">
      <c r="A26" t="s">
        <v>14</v>
      </c>
      <c r="B26" t="s">
        <v>370</v>
      </c>
      <c r="C26" t="s">
        <v>371</v>
      </c>
      <c r="D26" t="s">
        <v>356</v>
      </c>
      <c r="E26" s="1">
        <v>24333</v>
      </c>
      <c r="F26">
        <v>7482069727</v>
      </c>
      <c r="G26" t="s">
        <v>357</v>
      </c>
      <c r="H26" s="1">
        <v>44448</v>
      </c>
      <c r="I26" t="s">
        <v>372</v>
      </c>
      <c r="J26" t="s">
        <v>373</v>
      </c>
      <c r="K26" t="s">
        <v>684</v>
      </c>
    </row>
    <row r="27" spans="1:11" x14ac:dyDescent="0.3">
      <c r="A27" t="s">
        <v>45</v>
      </c>
      <c r="B27" t="s">
        <v>398</v>
      </c>
      <c r="C27" t="s">
        <v>391</v>
      </c>
      <c r="D27" t="s">
        <v>356</v>
      </c>
      <c r="E27" s="1">
        <v>37953</v>
      </c>
      <c r="F27">
        <v>9900972256</v>
      </c>
      <c r="G27" t="s">
        <v>357</v>
      </c>
      <c r="H27" s="1">
        <v>44329</v>
      </c>
      <c r="I27" t="s">
        <v>358</v>
      </c>
      <c r="J27" t="s">
        <v>409</v>
      </c>
      <c r="K27" t="s">
        <v>685</v>
      </c>
    </row>
    <row r="28" spans="1:11" x14ac:dyDescent="0.3">
      <c r="A28" t="s">
        <v>110</v>
      </c>
      <c r="B28" t="s">
        <v>383</v>
      </c>
      <c r="C28" t="s">
        <v>355</v>
      </c>
      <c r="D28" t="s">
        <v>346</v>
      </c>
      <c r="E28" s="1">
        <v>35975</v>
      </c>
      <c r="F28">
        <v>8724518272</v>
      </c>
      <c r="G28" t="s">
        <v>347</v>
      </c>
      <c r="H28" s="1">
        <v>44423</v>
      </c>
      <c r="I28" t="s">
        <v>372</v>
      </c>
      <c r="J28" t="s">
        <v>447</v>
      </c>
      <c r="K28" t="s">
        <v>686</v>
      </c>
    </row>
    <row r="29" spans="1:11" x14ac:dyDescent="0.3">
      <c r="A29" t="s">
        <v>56</v>
      </c>
      <c r="B29" t="s">
        <v>344</v>
      </c>
      <c r="C29" t="s">
        <v>355</v>
      </c>
      <c r="D29" t="s">
        <v>356</v>
      </c>
      <c r="E29" s="1">
        <v>34072</v>
      </c>
      <c r="F29">
        <v>7028910482</v>
      </c>
      <c r="G29" t="s">
        <v>347</v>
      </c>
      <c r="H29" s="1">
        <v>45066</v>
      </c>
      <c r="I29" t="s">
        <v>358</v>
      </c>
      <c r="J29" t="s">
        <v>416</v>
      </c>
      <c r="K29" t="s">
        <v>687</v>
      </c>
    </row>
    <row r="30" spans="1:11" x14ac:dyDescent="0.3">
      <c r="A30" t="s">
        <v>38</v>
      </c>
      <c r="B30" t="s">
        <v>360</v>
      </c>
      <c r="C30" t="s">
        <v>345</v>
      </c>
      <c r="D30" t="s">
        <v>356</v>
      </c>
      <c r="E30" s="1">
        <v>38487</v>
      </c>
      <c r="F30">
        <v>8923607677</v>
      </c>
      <c r="G30" t="s">
        <v>386</v>
      </c>
      <c r="H30" s="1">
        <v>45035</v>
      </c>
      <c r="I30" t="s">
        <v>372</v>
      </c>
      <c r="J30" t="s">
        <v>402</v>
      </c>
      <c r="K30" t="s">
        <v>688</v>
      </c>
    </row>
    <row r="31" spans="1:11" x14ac:dyDescent="0.3">
      <c r="A31" t="s">
        <v>63</v>
      </c>
      <c r="B31" t="s">
        <v>365</v>
      </c>
      <c r="C31" t="s">
        <v>355</v>
      </c>
      <c r="D31" t="s">
        <v>356</v>
      </c>
      <c r="E31" s="1">
        <v>23734</v>
      </c>
      <c r="F31">
        <v>6622318721</v>
      </c>
      <c r="G31" t="s">
        <v>379</v>
      </c>
      <c r="H31" s="1">
        <v>44415</v>
      </c>
      <c r="I31" t="s">
        <v>367</v>
      </c>
      <c r="J31" t="s">
        <v>422</v>
      </c>
      <c r="K31" t="s">
        <v>689</v>
      </c>
    </row>
    <row r="32" spans="1:11" x14ac:dyDescent="0.3">
      <c r="A32" t="s">
        <v>90</v>
      </c>
      <c r="B32" t="s">
        <v>370</v>
      </c>
      <c r="C32" t="s">
        <v>366</v>
      </c>
      <c r="D32" t="s">
        <v>356</v>
      </c>
      <c r="E32" s="1">
        <v>31791</v>
      </c>
      <c r="F32">
        <v>8280346676</v>
      </c>
      <c r="G32" t="s">
        <v>347</v>
      </c>
      <c r="H32" s="1">
        <v>44740</v>
      </c>
      <c r="I32" t="s">
        <v>348</v>
      </c>
      <c r="J32" t="s">
        <v>437</v>
      </c>
      <c r="K32" t="s">
        <v>690</v>
      </c>
    </row>
    <row r="33" spans="1:11" x14ac:dyDescent="0.3">
      <c r="A33" t="s">
        <v>6</v>
      </c>
      <c r="B33" t="s">
        <v>344</v>
      </c>
      <c r="C33" t="s">
        <v>355</v>
      </c>
      <c r="D33" t="s">
        <v>356</v>
      </c>
      <c r="E33" s="1">
        <v>29594</v>
      </c>
      <c r="F33">
        <v>8102183595</v>
      </c>
      <c r="G33" t="s">
        <v>357</v>
      </c>
      <c r="H33" s="1">
        <v>44471</v>
      </c>
      <c r="I33" t="s">
        <v>358</v>
      </c>
      <c r="J33" t="s">
        <v>359</v>
      </c>
      <c r="K33" t="s">
        <v>687</v>
      </c>
    </row>
    <row r="34" spans="1:11" x14ac:dyDescent="0.3">
      <c r="A34" t="s">
        <v>79</v>
      </c>
      <c r="B34" t="s">
        <v>390</v>
      </c>
      <c r="C34" t="s">
        <v>371</v>
      </c>
      <c r="D34" t="s">
        <v>346</v>
      </c>
      <c r="E34" s="1">
        <v>25605</v>
      </c>
      <c r="F34">
        <v>7923214041</v>
      </c>
      <c r="G34" t="s">
        <v>386</v>
      </c>
      <c r="H34" s="1">
        <v>45175</v>
      </c>
      <c r="I34" t="s">
        <v>358</v>
      </c>
      <c r="J34" t="s">
        <v>430</v>
      </c>
      <c r="K34" t="s">
        <v>680</v>
      </c>
    </row>
    <row r="35" spans="1:11" x14ac:dyDescent="0.3">
      <c r="A35" t="s">
        <v>1</v>
      </c>
      <c r="B35" t="s">
        <v>344</v>
      </c>
      <c r="C35" t="s">
        <v>345</v>
      </c>
      <c r="D35" t="s">
        <v>346</v>
      </c>
      <c r="E35" s="1">
        <v>18289</v>
      </c>
      <c r="F35">
        <v>8374657733</v>
      </c>
      <c r="G35" t="s">
        <v>347</v>
      </c>
      <c r="H35" s="1">
        <v>45095</v>
      </c>
      <c r="I35" t="s">
        <v>348</v>
      </c>
      <c r="J35" t="s">
        <v>349</v>
      </c>
      <c r="K35" t="s">
        <v>691</v>
      </c>
    </row>
    <row r="36" spans="1:11" x14ac:dyDescent="0.3">
      <c r="A36" t="s">
        <v>118</v>
      </c>
      <c r="B36" t="s">
        <v>360</v>
      </c>
      <c r="C36" t="s">
        <v>371</v>
      </c>
      <c r="D36" t="s">
        <v>346</v>
      </c>
      <c r="E36" s="1">
        <v>34072</v>
      </c>
      <c r="F36">
        <v>7039619487</v>
      </c>
      <c r="G36" t="s">
        <v>357</v>
      </c>
      <c r="H36" s="1">
        <v>45116</v>
      </c>
      <c r="I36" t="s">
        <v>358</v>
      </c>
      <c r="J36" t="s">
        <v>453</v>
      </c>
      <c r="K36" t="s">
        <v>662</v>
      </c>
    </row>
    <row r="37" spans="1:11" x14ac:dyDescent="0.3">
      <c r="A37" t="s">
        <v>77</v>
      </c>
      <c r="B37" t="s">
        <v>390</v>
      </c>
      <c r="C37" t="s">
        <v>371</v>
      </c>
      <c r="D37" t="s">
        <v>356</v>
      </c>
      <c r="E37" s="1">
        <v>35790</v>
      </c>
      <c r="F37">
        <v>8545613046</v>
      </c>
      <c r="G37" t="s">
        <v>357</v>
      </c>
      <c r="H37" s="1">
        <v>44838</v>
      </c>
      <c r="I37" t="s">
        <v>358</v>
      </c>
      <c r="J37" t="s">
        <v>428</v>
      </c>
      <c r="K37" t="s">
        <v>680</v>
      </c>
    </row>
    <row r="38" spans="1:11" x14ac:dyDescent="0.3">
      <c r="A38" t="s">
        <v>49</v>
      </c>
      <c r="B38" t="s">
        <v>370</v>
      </c>
      <c r="C38" t="s">
        <v>378</v>
      </c>
      <c r="D38" t="s">
        <v>356</v>
      </c>
      <c r="E38" s="1">
        <v>36196</v>
      </c>
      <c r="F38">
        <v>8886800195</v>
      </c>
      <c r="G38" t="s">
        <v>379</v>
      </c>
      <c r="H38" s="1">
        <v>44469</v>
      </c>
      <c r="I38" t="s">
        <v>372</v>
      </c>
      <c r="J38" t="s">
        <v>411</v>
      </c>
      <c r="K38" t="s">
        <v>692</v>
      </c>
    </row>
    <row r="39" spans="1:11" x14ac:dyDescent="0.3">
      <c r="A39" t="s">
        <v>245</v>
      </c>
      <c r="B39" t="s">
        <v>360</v>
      </c>
      <c r="C39" t="s">
        <v>345</v>
      </c>
      <c r="D39" t="s">
        <v>356</v>
      </c>
      <c r="E39" s="1">
        <v>33414</v>
      </c>
      <c r="F39">
        <v>6347262390</v>
      </c>
      <c r="G39" t="s">
        <v>386</v>
      </c>
      <c r="H39" s="1">
        <v>44305</v>
      </c>
      <c r="I39" t="s">
        <v>358</v>
      </c>
      <c r="J39" t="s">
        <v>477</v>
      </c>
      <c r="K39" t="s">
        <v>688</v>
      </c>
    </row>
    <row r="40" spans="1:11" x14ac:dyDescent="0.3">
      <c r="A40" t="s">
        <v>30</v>
      </c>
      <c r="B40" t="s">
        <v>381</v>
      </c>
      <c r="C40" t="s">
        <v>371</v>
      </c>
      <c r="D40" t="s">
        <v>346</v>
      </c>
      <c r="E40" s="1">
        <v>18609</v>
      </c>
      <c r="F40">
        <v>9271131338</v>
      </c>
      <c r="G40" t="s">
        <v>386</v>
      </c>
      <c r="H40" s="1">
        <v>44264</v>
      </c>
      <c r="I40" t="s">
        <v>367</v>
      </c>
      <c r="J40" t="s">
        <v>394</v>
      </c>
      <c r="K40" t="s">
        <v>693</v>
      </c>
    </row>
    <row r="41" spans="1:11" x14ac:dyDescent="0.3">
      <c r="A41" t="s">
        <v>17</v>
      </c>
      <c r="B41" t="s">
        <v>365</v>
      </c>
      <c r="C41" t="s">
        <v>378</v>
      </c>
      <c r="D41" t="s">
        <v>356</v>
      </c>
      <c r="E41" s="1">
        <v>26449</v>
      </c>
      <c r="F41">
        <v>7587653815</v>
      </c>
      <c r="G41" t="s">
        <v>379</v>
      </c>
      <c r="H41" s="1">
        <v>44485</v>
      </c>
      <c r="I41" t="s">
        <v>367</v>
      </c>
      <c r="J41" t="s">
        <v>380</v>
      </c>
      <c r="K41" t="s">
        <v>694</v>
      </c>
    </row>
    <row r="42" spans="1:11" x14ac:dyDescent="0.3">
      <c r="A42" t="s">
        <v>154</v>
      </c>
      <c r="B42" t="s">
        <v>370</v>
      </c>
      <c r="C42" t="s">
        <v>378</v>
      </c>
      <c r="D42" t="s">
        <v>356</v>
      </c>
      <c r="E42" s="1">
        <v>18798</v>
      </c>
      <c r="F42">
        <v>7020645498</v>
      </c>
      <c r="G42" t="s">
        <v>379</v>
      </c>
      <c r="H42" s="1">
        <v>44758</v>
      </c>
      <c r="I42" t="s">
        <v>348</v>
      </c>
      <c r="J42" t="s">
        <v>465</v>
      </c>
      <c r="K42" t="s">
        <v>692</v>
      </c>
    </row>
    <row r="43" spans="1:11" x14ac:dyDescent="0.3">
      <c r="A43" t="s">
        <v>227</v>
      </c>
      <c r="B43" t="s">
        <v>381</v>
      </c>
      <c r="C43" t="s">
        <v>345</v>
      </c>
      <c r="D43" t="s">
        <v>346</v>
      </c>
      <c r="E43" s="1">
        <v>19958</v>
      </c>
      <c r="F43">
        <v>7040069008</v>
      </c>
      <c r="G43" t="s">
        <v>386</v>
      </c>
      <c r="H43" s="1">
        <v>44635</v>
      </c>
      <c r="I43" t="s">
        <v>358</v>
      </c>
      <c r="J43" t="s">
        <v>475</v>
      </c>
      <c r="K43" t="s">
        <v>695</v>
      </c>
    </row>
    <row r="44" spans="1:11" x14ac:dyDescent="0.3">
      <c r="A44" t="s">
        <v>122</v>
      </c>
      <c r="B44" t="s">
        <v>383</v>
      </c>
      <c r="C44" t="s">
        <v>399</v>
      </c>
      <c r="D44" t="s">
        <v>356</v>
      </c>
      <c r="E44" s="1">
        <v>29305</v>
      </c>
      <c r="F44">
        <v>9127665406</v>
      </c>
      <c r="G44" t="s">
        <v>386</v>
      </c>
      <c r="H44" s="1">
        <v>44760</v>
      </c>
      <c r="I44" t="s">
        <v>348</v>
      </c>
      <c r="J44" t="s">
        <v>455</v>
      </c>
      <c r="K44" t="s">
        <v>696</v>
      </c>
    </row>
    <row r="45" spans="1:11" x14ac:dyDescent="0.3">
      <c r="A45" t="s">
        <v>132</v>
      </c>
      <c r="B45" t="s">
        <v>370</v>
      </c>
      <c r="C45" t="s">
        <v>391</v>
      </c>
      <c r="D45" t="s">
        <v>346</v>
      </c>
      <c r="E45" s="1">
        <v>27830</v>
      </c>
      <c r="F45">
        <v>9449458981</v>
      </c>
      <c r="G45" t="s">
        <v>347</v>
      </c>
      <c r="H45" s="1">
        <v>44952</v>
      </c>
      <c r="I45" t="s">
        <v>367</v>
      </c>
      <c r="J45" t="s">
        <v>457</v>
      </c>
      <c r="K45" t="s">
        <v>697</v>
      </c>
    </row>
    <row r="46" spans="1:11" x14ac:dyDescent="0.3">
      <c r="A46" t="s">
        <v>21</v>
      </c>
      <c r="B46" t="s">
        <v>383</v>
      </c>
      <c r="C46" t="s">
        <v>366</v>
      </c>
      <c r="D46" t="s">
        <v>346</v>
      </c>
      <c r="E46" s="1">
        <v>24222</v>
      </c>
      <c r="F46">
        <v>7579616535</v>
      </c>
      <c r="G46" t="s">
        <v>347</v>
      </c>
      <c r="H46" s="1">
        <v>44219</v>
      </c>
      <c r="I46" t="s">
        <v>358</v>
      </c>
      <c r="J46" t="s">
        <v>384</v>
      </c>
      <c r="K46" t="s">
        <v>698</v>
      </c>
    </row>
    <row r="47" spans="1:11" x14ac:dyDescent="0.3">
      <c r="A47" t="s">
        <v>65</v>
      </c>
      <c r="B47" t="s">
        <v>390</v>
      </c>
      <c r="C47" t="s">
        <v>391</v>
      </c>
      <c r="D47" t="s">
        <v>346</v>
      </c>
      <c r="E47" s="1">
        <v>31656</v>
      </c>
      <c r="F47">
        <v>8019925828</v>
      </c>
      <c r="G47" t="s">
        <v>379</v>
      </c>
      <c r="H47" s="1">
        <v>44408</v>
      </c>
      <c r="I47" t="s">
        <v>358</v>
      </c>
      <c r="J47" t="s">
        <v>424</v>
      </c>
      <c r="K47" t="s">
        <v>669</v>
      </c>
    </row>
    <row r="48" spans="1:11" x14ac:dyDescent="0.3">
      <c r="A48" t="s">
        <v>59</v>
      </c>
      <c r="B48" t="s">
        <v>381</v>
      </c>
      <c r="C48" t="s">
        <v>355</v>
      </c>
      <c r="D48" t="s">
        <v>356</v>
      </c>
      <c r="E48" s="1">
        <v>35046</v>
      </c>
      <c r="F48">
        <v>8715732851</v>
      </c>
      <c r="G48" t="s">
        <v>347</v>
      </c>
      <c r="H48" s="1">
        <v>44701</v>
      </c>
      <c r="I48" t="s">
        <v>348</v>
      </c>
      <c r="J48" t="s">
        <v>418</v>
      </c>
      <c r="K48" t="s">
        <v>679</v>
      </c>
    </row>
    <row r="49" spans="1:11" x14ac:dyDescent="0.3">
      <c r="A49" t="s">
        <v>10</v>
      </c>
      <c r="B49" t="s">
        <v>365</v>
      </c>
      <c r="C49" t="s">
        <v>366</v>
      </c>
      <c r="D49" t="s">
        <v>356</v>
      </c>
      <c r="E49" s="1">
        <v>30399</v>
      </c>
      <c r="F49">
        <v>8720989381</v>
      </c>
      <c r="G49" t="s">
        <v>357</v>
      </c>
      <c r="H49" s="1">
        <v>45096</v>
      </c>
      <c r="I49" t="s">
        <v>367</v>
      </c>
      <c r="J49" t="s">
        <v>368</v>
      </c>
      <c r="K49" t="s">
        <v>699</v>
      </c>
    </row>
    <row r="50" spans="1:11" x14ac:dyDescent="0.3">
      <c r="A50" t="s">
        <v>61</v>
      </c>
      <c r="B50" t="s">
        <v>360</v>
      </c>
      <c r="C50" t="s">
        <v>355</v>
      </c>
      <c r="D50" t="s">
        <v>356</v>
      </c>
      <c r="E50" s="1">
        <v>26629</v>
      </c>
      <c r="F50">
        <v>7712937941</v>
      </c>
      <c r="G50" t="s">
        <v>347</v>
      </c>
      <c r="H50" s="1">
        <v>45091</v>
      </c>
      <c r="I50" t="s">
        <v>358</v>
      </c>
      <c r="J50" t="s">
        <v>420</v>
      </c>
      <c r="K50" t="s">
        <v>700</v>
      </c>
    </row>
    <row r="51" spans="1:11" x14ac:dyDescent="0.3">
      <c r="A51" t="s">
        <v>116</v>
      </c>
      <c r="B51" t="s">
        <v>404</v>
      </c>
      <c r="C51" t="s">
        <v>371</v>
      </c>
      <c r="D51" t="s">
        <v>356</v>
      </c>
      <c r="E51" s="1">
        <v>34330</v>
      </c>
      <c r="F51">
        <v>8301134730</v>
      </c>
      <c r="G51" t="s">
        <v>347</v>
      </c>
      <c r="H51" s="1">
        <v>45044</v>
      </c>
      <c r="I51" t="s">
        <v>348</v>
      </c>
      <c r="J51" t="s">
        <v>451</v>
      </c>
      <c r="K51" t="s">
        <v>677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BFA2-2F22-44CB-BF60-44E3485CDE45}">
  <dimension ref="A1:H11"/>
  <sheetViews>
    <sheetView workbookViewId="0">
      <selection activeCell="E25" sqref="E25"/>
    </sheetView>
  </sheetViews>
  <sheetFormatPr defaultRowHeight="14.4" x14ac:dyDescent="0.3"/>
  <cols>
    <col min="1" max="1" width="11" customWidth="1"/>
    <col min="2" max="2" width="11.88671875" customWidth="1"/>
    <col min="3" max="3" width="11.5546875" customWidth="1"/>
    <col min="4" max="4" width="14.109375" customWidth="1"/>
    <col min="5" max="5" width="16" customWidth="1"/>
    <col min="6" max="6" width="17.44140625" customWidth="1"/>
    <col min="7" max="7" width="16.44140625" customWidth="1"/>
    <col min="8" max="8" width="25.77734375" bestFit="1" customWidth="1"/>
  </cols>
  <sheetData>
    <row r="1" spans="1:8" x14ac:dyDescent="0.3">
      <c r="A1" t="s">
        <v>701</v>
      </c>
      <c r="B1" t="s">
        <v>648</v>
      </c>
      <c r="C1" t="s">
        <v>649</v>
      </c>
      <c r="D1" t="s">
        <v>702</v>
      </c>
      <c r="E1" t="s">
        <v>703</v>
      </c>
      <c r="F1" t="s">
        <v>704</v>
      </c>
      <c r="G1" t="s">
        <v>705</v>
      </c>
      <c r="H1" t="s">
        <v>657</v>
      </c>
    </row>
    <row r="2" spans="1:8" x14ac:dyDescent="0.3">
      <c r="A2" t="s">
        <v>52</v>
      </c>
      <c r="B2" t="s">
        <v>360</v>
      </c>
      <c r="C2" t="s">
        <v>391</v>
      </c>
      <c r="D2" t="s">
        <v>308</v>
      </c>
      <c r="E2">
        <v>8322010158</v>
      </c>
      <c r="F2">
        <v>17</v>
      </c>
      <c r="G2" t="s">
        <v>299</v>
      </c>
      <c r="H2" t="s">
        <v>706</v>
      </c>
    </row>
    <row r="3" spans="1:8" x14ac:dyDescent="0.3">
      <c r="A3" t="s">
        <v>41</v>
      </c>
      <c r="B3" t="s">
        <v>381</v>
      </c>
      <c r="C3" t="s">
        <v>374</v>
      </c>
      <c r="D3" t="s">
        <v>310</v>
      </c>
      <c r="E3">
        <v>9004382050</v>
      </c>
      <c r="F3">
        <v>24</v>
      </c>
      <c r="G3" t="s">
        <v>298</v>
      </c>
      <c r="H3" t="s">
        <v>707</v>
      </c>
    </row>
    <row r="4" spans="1:8" x14ac:dyDescent="0.3">
      <c r="A4" t="s">
        <v>18</v>
      </c>
      <c r="B4" t="s">
        <v>381</v>
      </c>
      <c r="C4" t="s">
        <v>345</v>
      </c>
      <c r="D4" t="s">
        <v>310</v>
      </c>
      <c r="E4">
        <v>8737740598</v>
      </c>
      <c r="F4">
        <v>19</v>
      </c>
      <c r="G4" t="s">
        <v>298</v>
      </c>
      <c r="H4" t="s">
        <v>708</v>
      </c>
    </row>
    <row r="5" spans="1:8" x14ac:dyDescent="0.3">
      <c r="A5" t="s">
        <v>7</v>
      </c>
      <c r="B5" t="s">
        <v>360</v>
      </c>
      <c r="C5" t="s">
        <v>361</v>
      </c>
      <c r="D5" t="s">
        <v>310</v>
      </c>
      <c r="E5">
        <v>6594221991</v>
      </c>
      <c r="F5">
        <v>28</v>
      </c>
      <c r="G5" t="s">
        <v>297</v>
      </c>
      <c r="H5" t="s">
        <v>709</v>
      </c>
    </row>
    <row r="6" spans="1:8" x14ac:dyDescent="0.3">
      <c r="A6" t="s">
        <v>67</v>
      </c>
      <c r="B6" t="s">
        <v>350</v>
      </c>
      <c r="C6" t="s">
        <v>391</v>
      </c>
      <c r="D6" t="s">
        <v>308</v>
      </c>
      <c r="E6">
        <v>9118538547</v>
      </c>
      <c r="F6">
        <v>26</v>
      </c>
      <c r="G6" t="s">
        <v>297</v>
      </c>
      <c r="H6" t="s">
        <v>710</v>
      </c>
    </row>
    <row r="7" spans="1:8" x14ac:dyDescent="0.3">
      <c r="A7" t="s">
        <v>15</v>
      </c>
      <c r="B7" t="s">
        <v>344</v>
      </c>
      <c r="C7" t="s">
        <v>374</v>
      </c>
      <c r="D7" t="s">
        <v>310</v>
      </c>
      <c r="E7">
        <v>6570137231</v>
      </c>
      <c r="F7">
        <v>23</v>
      </c>
      <c r="G7" t="s">
        <v>297</v>
      </c>
      <c r="H7" t="s">
        <v>711</v>
      </c>
    </row>
    <row r="8" spans="1:8" x14ac:dyDescent="0.3">
      <c r="A8" t="s">
        <v>25</v>
      </c>
      <c r="B8" t="s">
        <v>370</v>
      </c>
      <c r="C8" t="s">
        <v>374</v>
      </c>
      <c r="D8" t="s">
        <v>309</v>
      </c>
      <c r="E8">
        <v>8217493115</v>
      </c>
      <c r="F8">
        <v>26</v>
      </c>
      <c r="G8" t="s">
        <v>299</v>
      </c>
      <c r="H8" t="s">
        <v>712</v>
      </c>
    </row>
    <row r="9" spans="1:8" x14ac:dyDescent="0.3">
      <c r="A9" t="s">
        <v>47</v>
      </c>
      <c r="B9" t="s">
        <v>383</v>
      </c>
      <c r="C9" t="s">
        <v>399</v>
      </c>
      <c r="D9" t="s">
        <v>308</v>
      </c>
      <c r="E9">
        <v>9069162601</v>
      </c>
      <c r="F9">
        <v>5</v>
      </c>
      <c r="G9" t="s">
        <v>299</v>
      </c>
      <c r="H9" t="s">
        <v>713</v>
      </c>
    </row>
    <row r="10" spans="1:8" x14ac:dyDescent="0.3">
      <c r="A10" t="s">
        <v>2</v>
      </c>
      <c r="B10" t="s">
        <v>350</v>
      </c>
      <c r="C10" t="s">
        <v>345</v>
      </c>
      <c r="D10" t="s">
        <v>310</v>
      </c>
      <c r="E10">
        <v>7387087517</v>
      </c>
      <c r="F10">
        <v>26</v>
      </c>
      <c r="G10" t="s">
        <v>297</v>
      </c>
      <c r="H10" t="s">
        <v>714</v>
      </c>
    </row>
    <row r="11" spans="1:8" x14ac:dyDescent="0.3">
      <c r="A11" t="s">
        <v>28</v>
      </c>
      <c r="B11" t="s">
        <v>383</v>
      </c>
      <c r="C11" t="s">
        <v>371</v>
      </c>
      <c r="D11" t="s">
        <v>309</v>
      </c>
      <c r="E11">
        <v>6176383634</v>
      </c>
      <c r="F11">
        <v>21</v>
      </c>
      <c r="G11" t="s">
        <v>298</v>
      </c>
      <c r="H11" t="s">
        <v>715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BEA6-89C3-410A-A870-F3187CB453AB}">
  <dimension ref="A1:G201"/>
  <sheetViews>
    <sheetView workbookViewId="0">
      <selection activeCell="I19" sqref="I19"/>
    </sheetView>
  </sheetViews>
  <sheetFormatPr defaultRowHeight="14.4" x14ac:dyDescent="0.3"/>
  <cols>
    <col min="2" max="2" width="11.44140625" customWidth="1"/>
    <col min="3" max="3" width="13.88671875" customWidth="1"/>
    <col min="4" max="4" width="10.109375" customWidth="1"/>
    <col min="5" max="5" width="9.5546875" customWidth="1"/>
    <col min="6" max="6" width="18.109375" customWidth="1"/>
    <col min="7" max="7" width="16.44140625" customWidth="1"/>
  </cols>
  <sheetData>
    <row r="1" spans="1:7" x14ac:dyDescent="0.3">
      <c r="A1" t="s">
        <v>716</v>
      </c>
      <c r="B1" t="s">
        <v>647</v>
      </c>
      <c r="C1" t="s">
        <v>489</v>
      </c>
      <c r="D1" t="s">
        <v>717</v>
      </c>
      <c r="E1" t="s">
        <v>718</v>
      </c>
      <c r="F1" t="s">
        <v>719</v>
      </c>
      <c r="G1" t="s">
        <v>720</v>
      </c>
    </row>
    <row r="2" spans="1:7" x14ac:dyDescent="0.3">
      <c r="A2" t="s">
        <v>721</v>
      </c>
      <c r="B2" t="s">
        <v>1</v>
      </c>
      <c r="C2" t="s">
        <v>351</v>
      </c>
      <c r="D2" s="1">
        <v>45147</v>
      </c>
      <c r="E2">
        <v>3941.97</v>
      </c>
      <c r="F2" t="s">
        <v>317</v>
      </c>
      <c r="G2" t="s">
        <v>352</v>
      </c>
    </row>
    <row r="3" spans="1:7" x14ac:dyDescent="0.3">
      <c r="A3" t="s">
        <v>722</v>
      </c>
      <c r="B3" t="s">
        <v>6</v>
      </c>
      <c r="C3" t="s">
        <v>362</v>
      </c>
      <c r="D3" s="1">
        <v>45086</v>
      </c>
      <c r="E3">
        <v>4158.4399999999996</v>
      </c>
      <c r="F3" t="s">
        <v>317</v>
      </c>
      <c r="G3" t="s">
        <v>363</v>
      </c>
    </row>
    <row r="4" spans="1:7" x14ac:dyDescent="0.3">
      <c r="A4" t="s">
        <v>723</v>
      </c>
      <c r="B4" t="s">
        <v>10</v>
      </c>
      <c r="C4" t="s">
        <v>369</v>
      </c>
      <c r="D4" s="1">
        <v>45105</v>
      </c>
      <c r="E4">
        <v>3731.55</v>
      </c>
      <c r="F4" t="s">
        <v>317</v>
      </c>
      <c r="G4" t="s">
        <v>363</v>
      </c>
    </row>
    <row r="5" spans="1:7" x14ac:dyDescent="0.3">
      <c r="A5" t="s">
        <v>724</v>
      </c>
      <c r="B5" t="s">
        <v>14</v>
      </c>
      <c r="C5" t="s">
        <v>375</v>
      </c>
      <c r="D5" s="1">
        <v>45170</v>
      </c>
      <c r="E5">
        <v>4799.8599999999997</v>
      </c>
      <c r="F5" t="s">
        <v>317</v>
      </c>
      <c r="G5" t="s">
        <v>376</v>
      </c>
    </row>
    <row r="6" spans="1:7" x14ac:dyDescent="0.3">
      <c r="A6" t="s">
        <v>725</v>
      </c>
      <c r="B6" t="s">
        <v>17</v>
      </c>
      <c r="C6" t="s">
        <v>382</v>
      </c>
      <c r="D6" s="1">
        <v>45113</v>
      </c>
      <c r="E6">
        <v>582.04999999999995</v>
      </c>
      <c r="F6" t="s">
        <v>316</v>
      </c>
      <c r="G6" t="s">
        <v>352</v>
      </c>
    </row>
    <row r="7" spans="1:7" x14ac:dyDescent="0.3">
      <c r="A7" t="s">
        <v>726</v>
      </c>
      <c r="B7" t="s">
        <v>21</v>
      </c>
      <c r="C7" t="s">
        <v>385</v>
      </c>
      <c r="D7" s="1">
        <v>45096</v>
      </c>
      <c r="E7">
        <v>1381</v>
      </c>
      <c r="F7" t="s">
        <v>317</v>
      </c>
      <c r="G7" t="s">
        <v>352</v>
      </c>
    </row>
    <row r="8" spans="1:7" x14ac:dyDescent="0.3">
      <c r="A8" t="s">
        <v>727</v>
      </c>
      <c r="B8" t="s">
        <v>24</v>
      </c>
      <c r="C8" t="s">
        <v>388</v>
      </c>
      <c r="D8" s="1">
        <v>45025</v>
      </c>
      <c r="E8">
        <v>534.03</v>
      </c>
      <c r="F8" t="s">
        <v>311</v>
      </c>
      <c r="G8" t="s">
        <v>376</v>
      </c>
    </row>
    <row r="9" spans="1:7" x14ac:dyDescent="0.3">
      <c r="A9" t="s">
        <v>728</v>
      </c>
      <c r="B9" t="s">
        <v>27</v>
      </c>
      <c r="C9" t="s">
        <v>393</v>
      </c>
      <c r="D9" s="1">
        <v>45070</v>
      </c>
      <c r="E9">
        <v>3413.64</v>
      </c>
      <c r="F9" t="s">
        <v>311</v>
      </c>
      <c r="G9" t="s">
        <v>376</v>
      </c>
    </row>
    <row r="10" spans="1:7" x14ac:dyDescent="0.3">
      <c r="A10" t="s">
        <v>729</v>
      </c>
      <c r="B10" t="s">
        <v>30</v>
      </c>
      <c r="C10" t="s">
        <v>395</v>
      </c>
      <c r="D10" s="1">
        <v>44990</v>
      </c>
      <c r="E10">
        <v>4541.1400000000003</v>
      </c>
      <c r="F10" t="s">
        <v>316</v>
      </c>
      <c r="G10" t="s">
        <v>363</v>
      </c>
    </row>
    <row r="11" spans="1:7" x14ac:dyDescent="0.3">
      <c r="A11" t="s">
        <v>730</v>
      </c>
      <c r="B11" t="s">
        <v>33</v>
      </c>
      <c r="C11" t="s">
        <v>397</v>
      </c>
      <c r="D11" s="1">
        <v>44939</v>
      </c>
      <c r="E11">
        <v>1595.67</v>
      </c>
      <c r="F11" t="s">
        <v>311</v>
      </c>
      <c r="G11" t="s">
        <v>363</v>
      </c>
    </row>
    <row r="12" spans="1:7" x14ac:dyDescent="0.3">
      <c r="A12" t="s">
        <v>731</v>
      </c>
      <c r="B12" t="s">
        <v>36</v>
      </c>
      <c r="C12" t="s">
        <v>401</v>
      </c>
      <c r="D12" s="1">
        <v>45242</v>
      </c>
      <c r="E12">
        <v>4671.66</v>
      </c>
      <c r="F12" t="s">
        <v>311</v>
      </c>
      <c r="G12" t="s">
        <v>376</v>
      </c>
    </row>
    <row r="13" spans="1:7" x14ac:dyDescent="0.3">
      <c r="A13" t="s">
        <v>732</v>
      </c>
      <c r="B13" t="s">
        <v>38</v>
      </c>
      <c r="C13" t="s">
        <v>403</v>
      </c>
      <c r="D13" s="1">
        <v>45053</v>
      </c>
      <c r="E13">
        <v>771.2</v>
      </c>
      <c r="F13" t="s">
        <v>317</v>
      </c>
      <c r="G13" t="s">
        <v>352</v>
      </c>
    </row>
    <row r="14" spans="1:7" x14ac:dyDescent="0.3">
      <c r="A14" t="s">
        <v>733</v>
      </c>
      <c r="B14" t="s">
        <v>40</v>
      </c>
      <c r="C14" t="s">
        <v>406</v>
      </c>
      <c r="D14" s="1">
        <v>45154</v>
      </c>
      <c r="E14">
        <v>4704.96</v>
      </c>
      <c r="F14" t="s">
        <v>311</v>
      </c>
      <c r="G14" t="s">
        <v>363</v>
      </c>
    </row>
    <row r="15" spans="1:7" x14ac:dyDescent="0.3">
      <c r="A15" t="s">
        <v>734</v>
      </c>
      <c r="B15" t="s">
        <v>43</v>
      </c>
      <c r="C15" t="s">
        <v>408</v>
      </c>
      <c r="D15" s="1">
        <v>45071</v>
      </c>
      <c r="E15">
        <v>2082.3000000000002</v>
      </c>
      <c r="F15" t="s">
        <v>316</v>
      </c>
      <c r="G15" t="s">
        <v>363</v>
      </c>
    </row>
    <row r="16" spans="1:7" x14ac:dyDescent="0.3">
      <c r="A16" t="s">
        <v>735</v>
      </c>
      <c r="B16" t="s">
        <v>45</v>
      </c>
      <c r="C16" t="s">
        <v>410</v>
      </c>
      <c r="D16" s="1">
        <v>44941</v>
      </c>
      <c r="E16">
        <v>956.39</v>
      </c>
      <c r="F16" t="s">
        <v>317</v>
      </c>
      <c r="G16" t="s">
        <v>352</v>
      </c>
    </row>
    <row r="17" spans="1:7" x14ac:dyDescent="0.3">
      <c r="A17" t="s">
        <v>736</v>
      </c>
      <c r="B17" t="s">
        <v>27</v>
      </c>
      <c r="C17" t="s">
        <v>495</v>
      </c>
      <c r="D17" s="1">
        <v>45107</v>
      </c>
      <c r="E17">
        <v>2686.42</v>
      </c>
      <c r="F17" t="s">
        <v>317</v>
      </c>
      <c r="G17" t="s">
        <v>363</v>
      </c>
    </row>
    <row r="18" spans="1:7" x14ac:dyDescent="0.3">
      <c r="A18" t="s">
        <v>737</v>
      </c>
      <c r="B18" t="s">
        <v>49</v>
      </c>
      <c r="C18" t="s">
        <v>412</v>
      </c>
      <c r="D18" s="1">
        <v>45118</v>
      </c>
      <c r="E18">
        <v>1655.49</v>
      </c>
      <c r="F18" t="s">
        <v>316</v>
      </c>
      <c r="G18" t="s">
        <v>352</v>
      </c>
    </row>
    <row r="19" spans="1:7" x14ac:dyDescent="0.3">
      <c r="A19" t="s">
        <v>738</v>
      </c>
      <c r="B19" t="s">
        <v>36</v>
      </c>
      <c r="C19" t="s">
        <v>496</v>
      </c>
      <c r="D19" s="1">
        <v>45244</v>
      </c>
      <c r="E19">
        <v>1781.93</v>
      </c>
      <c r="F19" t="s">
        <v>317</v>
      </c>
      <c r="G19" t="s">
        <v>352</v>
      </c>
    </row>
    <row r="20" spans="1:7" x14ac:dyDescent="0.3">
      <c r="A20" t="s">
        <v>739</v>
      </c>
      <c r="B20" t="s">
        <v>38</v>
      </c>
      <c r="C20" t="s">
        <v>497</v>
      </c>
      <c r="D20" s="1">
        <v>44963</v>
      </c>
      <c r="E20">
        <v>1882.8</v>
      </c>
      <c r="F20" t="s">
        <v>317</v>
      </c>
      <c r="G20" t="s">
        <v>352</v>
      </c>
    </row>
    <row r="21" spans="1:7" x14ac:dyDescent="0.3">
      <c r="A21" t="s">
        <v>740</v>
      </c>
      <c r="B21" t="s">
        <v>54</v>
      </c>
      <c r="C21" t="s">
        <v>415</v>
      </c>
      <c r="D21" s="1">
        <v>45265</v>
      </c>
      <c r="E21">
        <v>4113.62</v>
      </c>
      <c r="F21" t="s">
        <v>316</v>
      </c>
      <c r="G21" t="s">
        <v>376</v>
      </c>
    </row>
    <row r="22" spans="1:7" x14ac:dyDescent="0.3">
      <c r="A22" t="s">
        <v>741</v>
      </c>
      <c r="B22" t="s">
        <v>56</v>
      </c>
      <c r="C22" t="s">
        <v>417</v>
      </c>
      <c r="D22" s="1">
        <v>45040</v>
      </c>
      <c r="E22">
        <v>2926.23</v>
      </c>
      <c r="F22" t="s">
        <v>317</v>
      </c>
      <c r="G22" t="s">
        <v>376</v>
      </c>
    </row>
    <row r="23" spans="1:7" x14ac:dyDescent="0.3">
      <c r="A23" t="s">
        <v>742</v>
      </c>
      <c r="B23" t="s">
        <v>33</v>
      </c>
      <c r="C23" t="s">
        <v>498</v>
      </c>
      <c r="D23" s="1">
        <v>45244</v>
      </c>
      <c r="E23">
        <v>1900.88</v>
      </c>
      <c r="F23" t="s">
        <v>316</v>
      </c>
      <c r="G23" t="s">
        <v>376</v>
      </c>
    </row>
    <row r="24" spans="1:7" x14ac:dyDescent="0.3">
      <c r="A24" t="s">
        <v>743</v>
      </c>
      <c r="B24" t="s">
        <v>59</v>
      </c>
      <c r="C24" t="s">
        <v>419</v>
      </c>
      <c r="D24" s="1">
        <v>45055</v>
      </c>
      <c r="E24">
        <v>3246.5</v>
      </c>
      <c r="F24" t="s">
        <v>316</v>
      </c>
      <c r="G24" t="s">
        <v>352</v>
      </c>
    </row>
    <row r="25" spans="1:7" x14ac:dyDescent="0.3">
      <c r="A25" t="s">
        <v>744</v>
      </c>
      <c r="B25" t="s">
        <v>61</v>
      </c>
      <c r="C25" t="s">
        <v>421</v>
      </c>
      <c r="D25" s="1">
        <v>45098</v>
      </c>
      <c r="E25">
        <v>3722.68</v>
      </c>
      <c r="F25" t="s">
        <v>311</v>
      </c>
      <c r="G25" t="s">
        <v>352</v>
      </c>
    </row>
    <row r="26" spans="1:7" x14ac:dyDescent="0.3">
      <c r="A26" t="s">
        <v>745</v>
      </c>
      <c r="B26" t="s">
        <v>63</v>
      </c>
      <c r="C26" t="s">
        <v>423</v>
      </c>
      <c r="D26" s="1">
        <v>44982</v>
      </c>
      <c r="E26">
        <v>1726.81</v>
      </c>
      <c r="F26" t="s">
        <v>311</v>
      </c>
      <c r="G26" t="s">
        <v>376</v>
      </c>
    </row>
    <row r="27" spans="1:7" x14ac:dyDescent="0.3">
      <c r="A27" t="s">
        <v>746</v>
      </c>
      <c r="B27" t="s">
        <v>65</v>
      </c>
      <c r="C27" t="s">
        <v>425</v>
      </c>
      <c r="D27" s="1">
        <v>45002</v>
      </c>
      <c r="E27">
        <v>2360.9699999999998</v>
      </c>
      <c r="F27" t="s">
        <v>317</v>
      </c>
      <c r="G27" t="s">
        <v>363</v>
      </c>
    </row>
    <row r="28" spans="1:7" x14ac:dyDescent="0.3">
      <c r="A28" t="s">
        <v>747</v>
      </c>
      <c r="B28" t="s">
        <v>33</v>
      </c>
      <c r="C28" t="s">
        <v>499</v>
      </c>
      <c r="D28" s="1">
        <v>45244</v>
      </c>
      <c r="E28">
        <v>1048.49</v>
      </c>
      <c r="F28" t="s">
        <v>317</v>
      </c>
      <c r="G28" t="s">
        <v>352</v>
      </c>
    </row>
    <row r="29" spans="1:7" x14ac:dyDescent="0.3">
      <c r="A29" t="s">
        <v>748</v>
      </c>
      <c r="B29" t="s">
        <v>43</v>
      </c>
      <c r="C29" t="s">
        <v>500</v>
      </c>
      <c r="D29" s="1">
        <v>45228</v>
      </c>
      <c r="E29">
        <v>1315.17</v>
      </c>
      <c r="F29" t="s">
        <v>316</v>
      </c>
      <c r="G29" t="s">
        <v>363</v>
      </c>
    </row>
    <row r="30" spans="1:7" x14ac:dyDescent="0.3">
      <c r="A30" t="s">
        <v>749</v>
      </c>
      <c r="B30" t="s">
        <v>27</v>
      </c>
      <c r="C30" t="s">
        <v>501</v>
      </c>
      <c r="D30" s="1">
        <v>45102</v>
      </c>
      <c r="E30">
        <v>3565.03</v>
      </c>
      <c r="F30" t="s">
        <v>317</v>
      </c>
      <c r="G30" t="s">
        <v>363</v>
      </c>
    </row>
    <row r="31" spans="1:7" x14ac:dyDescent="0.3">
      <c r="A31" t="s">
        <v>750</v>
      </c>
      <c r="B31" t="s">
        <v>45</v>
      </c>
      <c r="C31" t="s">
        <v>502</v>
      </c>
      <c r="D31" s="1">
        <v>45167</v>
      </c>
      <c r="E31">
        <v>1316.47</v>
      </c>
      <c r="F31" t="s">
        <v>316</v>
      </c>
      <c r="G31" t="s">
        <v>352</v>
      </c>
    </row>
    <row r="32" spans="1:7" x14ac:dyDescent="0.3">
      <c r="A32" t="s">
        <v>751</v>
      </c>
      <c r="B32" t="s">
        <v>45</v>
      </c>
      <c r="C32" t="s">
        <v>503</v>
      </c>
      <c r="D32" s="1">
        <v>45020</v>
      </c>
      <c r="E32">
        <v>2863.24</v>
      </c>
      <c r="F32" t="s">
        <v>316</v>
      </c>
      <c r="G32" t="s">
        <v>352</v>
      </c>
    </row>
    <row r="33" spans="1:7" x14ac:dyDescent="0.3">
      <c r="A33" t="s">
        <v>752</v>
      </c>
      <c r="B33" t="s">
        <v>10</v>
      </c>
      <c r="C33" t="s">
        <v>504</v>
      </c>
      <c r="D33" s="1">
        <v>45236</v>
      </c>
      <c r="E33">
        <v>3690.71</v>
      </c>
      <c r="F33" t="s">
        <v>317</v>
      </c>
      <c r="G33" t="s">
        <v>363</v>
      </c>
    </row>
    <row r="34" spans="1:7" x14ac:dyDescent="0.3">
      <c r="A34" t="s">
        <v>753</v>
      </c>
      <c r="B34" t="s">
        <v>74</v>
      </c>
      <c r="C34" t="s">
        <v>427</v>
      </c>
      <c r="D34" s="1">
        <v>45192</v>
      </c>
      <c r="E34">
        <v>980.95</v>
      </c>
      <c r="F34" t="s">
        <v>316</v>
      </c>
      <c r="G34" t="s">
        <v>363</v>
      </c>
    </row>
    <row r="35" spans="1:7" x14ac:dyDescent="0.3">
      <c r="A35" t="s">
        <v>754</v>
      </c>
      <c r="B35" t="s">
        <v>30</v>
      </c>
      <c r="C35" t="s">
        <v>505</v>
      </c>
      <c r="D35" s="1">
        <v>45090</v>
      </c>
      <c r="E35">
        <v>3052.9</v>
      </c>
      <c r="F35" t="s">
        <v>311</v>
      </c>
      <c r="G35" t="s">
        <v>376</v>
      </c>
    </row>
    <row r="36" spans="1:7" x14ac:dyDescent="0.3">
      <c r="A36" t="s">
        <v>755</v>
      </c>
      <c r="B36" t="s">
        <v>77</v>
      </c>
      <c r="C36" t="s">
        <v>429</v>
      </c>
      <c r="D36" s="1">
        <v>45034</v>
      </c>
      <c r="E36">
        <v>1654.53</v>
      </c>
      <c r="F36" t="s">
        <v>317</v>
      </c>
      <c r="G36" t="s">
        <v>376</v>
      </c>
    </row>
    <row r="37" spans="1:7" x14ac:dyDescent="0.3">
      <c r="A37" t="s">
        <v>756</v>
      </c>
      <c r="B37" t="s">
        <v>79</v>
      </c>
      <c r="C37" t="s">
        <v>431</v>
      </c>
      <c r="D37" s="1">
        <v>44934</v>
      </c>
      <c r="E37">
        <v>4833.17</v>
      </c>
      <c r="F37" t="s">
        <v>311</v>
      </c>
      <c r="G37" t="s">
        <v>352</v>
      </c>
    </row>
    <row r="38" spans="1:7" x14ac:dyDescent="0.3">
      <c r="A38" t="s">
        <v>757</v>
      </c>
      <c r="B38" t="s">
        <v>63</v>
      </c>
      <c r="C38" t="s">
        <v>506</v>
      </c>
      <c r="D38" s="1">
        <v>45013</v>
      </c>
      <c r="E38">
        <v>2675.96</v>
      </c>
      <c r="F38" t="s">
        <v>317</v>
      </c>
      <c r="G38" t="s">
        <v>376</v>
      </c>
    </row>
    <row r="39" spans="1:7" x14ac:dyDescent="0.3">
      <c r="A39" t="s">
        <v>758</v>
      </c>
      <c r="B39" t="s">
        <v>49</v>
      </c>
      <c r="C39" t="s">
        <v>507</v>
      </c>
      <c r="D39" s="1">
        <v>44980</v>
      </c>
      <c r="E39">
        <v>4126.97</v>
      </c>
      <c r="F39" t="s">
        <v>316</v>
      </c>
      <c r="G39" t="s">
        <v>376</v>
      </c>
    </row>
    <row r="40" spans="1:7" x14ac:dyDescent="0.3">
      <c r="A40" t="s">
        <v>759</v>
      </c>
      <c r="B40" t="s">
        <v>83</v>
      </c>
      <c r="C40" t="s">
        <v>434</v>
      </c>
      <c r="D40" s="1">
        <v>45033</v>
      </c>
      <c r="E40">
        <v>2976.02</v>
      </c>
      <c r="F40" t="s">
        <v>317</v>
      </c>
      <c r="G40" t="s">
        <v>376</v>
      </c>
    </row>
    <row r="41" spans="1:7" x14ac:dyDescent="0.3">
      <c r="A41" t="s">
        <v>760</v>
      </c>
      <c r="B41" t="s">
        <v>85</v>
      </c>
      <c r="C41" t="s">
        <v>436</v>
      </c>
      <c r="D41" s="1">
        <v>45012</v>
      </c>
      <c r="E41">
        <v>695.36</v>
      </c>
      <c r="F41" t="s">
        <v>311</v>
      </c>
      <c r="G41" t="s">
        <v>376</v>
      </c>
    </row>
    <row r="42" spans="1:7" x14ac:dyDescent="0.3">
      <c r="A42" t="s">
        <v>761</v>
      </c>
      <c r="B42" t="s">
        <v>33</v>
      </c>
      <c r="C42" t="s">
        <v>508</v>
      </c>
      <c r="D42" s="1">
        <v>44927</v>
      </c>
      <c r="E42">
        <v>3349.18</v>
      </c>
      <c r="F42" t="s">
        <v>316</v>
      </c>
      <c r="G42" t="s">
        <v>363</v>
      </c>
    </row>
    <row r="43" spans="1:7" x14ac:dyDescent="0.3">
      <c r="A43" t="s">
        <v>762</v>
      </c>
      <c r="B43" t="s">
        <v>77</v>
      </c>
      <c r="C43" t="s">
        <v>509</v>
      </c>
      <c r="D43" s="1">
        <v>45006</v>
      </c>
      <c r="E43">
        <v>4781.32</v>
      </c>
      <c r="F43" t="s">
        <v>317</v>
      </c>
      <c r="G43" t="s">
        <v>352</v>
      </c>
    </row>
    <row r="44" spans="1:7" x14ac:dyDescent="0.3">
      <c r="A44" t="s">
        <v>763</v>
      </c>
      <c r="B44" t="s">
        <v>1</v>
      </c>
      <c r="C44" t="s">
        <v>510</v>
      </c>
      <c r="D44" s="1">
        <v>45014</v>
      </c>
      <c r="E44">
        <v>3207.25</v>
      </c>
      <c r="F44" t="s">
        <v>317</v>
      </c>
      <c r="G44" t="s">
        <v>376</v>
      </c>
    </row>
    <row r="45" spans="1:7" x14ac:dyDescent="0.3">
      <c r="A45" t="s">
        <v>764</v>
      </c>
      <c r="B45" t="s">
        <v>90</v>
      </c>
      <c r="C45" t="s">
        <v>438</v>
      </c>
      <c r="D45" s="1">
        <v>45189</v>
      </c>
      <c r="E45">
        <v>4186.3500000000004</v>
      </c>
      <c r="F45" t="s">
        <v>317</v>
      </c>
      <c r="G45" t="s">
        <v>363</v>
      </c>
    </row>
    <row r="46" spans="1:7" x14ac:dyDescent="0.3">
      <c r="A46" t="s">
        <v>765</v>
      </c>
      <c r="B46" t="s">
        <v>85</v>
      </c>
      <c r="C46" t="s">
        <v>511</v>
      </c>
      <c r="D46" s="1">
        <v>45197</v>
      </c>
      <c r="E46">
        <v>4478.93</v>
      </c>
      <c r="F46" t="s">
        <v>311</v>
      </c>
      <c r="G46" t="s">
        <v>363</v>
      </c>
    </row>
    <row r="47" spans="1:7" x14ac:dyDescent="0.3">
      <c r="A47" t="s">
        <v>766</v>
      </c>
      <c r="B47" t="s">
        <v>93</v>
      </c>
      <c r="C47" t="s">
        <v>440</v>
      </c>
      <c r="D47" s="1">
        <v>45280</v>
      </c>
      <c r="E47">
        <v>1526.36</v>
      </c>
      <c r="F47" t="s">
        <v>311</v>
      </c>
      <c r="G47" t="s">
        <v>363</v>
      </c>
    </row>
    <row r="48" spans="1:7" x14ac:dyDescent="0.3">
      <c r="A48" t="s">
        <v>767</v>
      </c>
      <c r="B48" t="s">
        <v>6</v>
      </c>
      <c r="C48" t="s">
        <v>512</v>
      </c>
      <c r="D48" s="1">
        <v>45048</v>
      </c>
      <c r="E48">
        <v>1454.2</v>
      </c>
      <c r="F48" t="s">
        <v>317</v>
      </c>
      <c r="G48" t="s">
        <v>376</v>
      </c>
    </row>
    <row r="49" spans="1:7" x14ac:dyDescent="0.3">
      <c r="A49" t="s">
        <v>768</v>
      </c>
      <c r="B49" t="s">
        <v>24</v>
      </c>
      <c r="C49" t="s">
        <v>513</v>
      </c>
      <c r="D49" s="1">
        <v>44942</v>
      </c>
      <c r="E49">
        <v>3249.41</v>
      </c>
      <c r="F49" t="s">
        <v>316</v>
      </c>
      <c r="G49" t="s">
        <v>376</v>
      </c>
    </row>
    <row r="50" spans="1:7" x14ac:dyDescent="0.3">
      <c r="A50" t="s">
        <v>769</v>
      </c>
      <c r="B50" t="s">
        <v>33</v>
      </c>
      <c r="C50" t="s">
        <v>514</v>
      </c>
      <c r="D50" s="1">
        <v>45046</v>
      </c>
      <c r="E50">
        <v>2349.63</v>
      </c>
      <c r="F50" t="s">
        <v>316</v>
      </c>
      <c r="G50" t="s">
        <v>352</v>
      </c>
    </row>
    <row r="51" spans="1:7" x14ac:dyDescent="0.3">
      <c r="A51" t="s">
        <v>770</v>
      </c>
      <c r="B51" t="s">
        <v>21</v>
      </c>
      <c r="C51" t="s">
        <v>515</v>
      </c>
      <c r="D51" s="1">
        <v>45154</v>
      </c>
      <c r="E51">
        <v>4279.38</v>
      </c>
      <c r="F51" t="s">
        <v>311</v>
      </c>
      <c r="G51" t="s">
        <v>376</v>
      </c>
    </row>
    <row r="52" spans="1:7" x14ac:dyDescent="0.3">
      <c r="A52" t="s">
        <v>771</v>
      </c>
      <c r="B52" t="s">
        <v>99</v>
      </c>
      <c r="C52" t="s">
        <v>442</v>
      </c>
      <c r="D52" s="1">
        <v>44961</v>
      </c>
      <c r="E52">
        <v>4550.1000000000004</v>
      </c>
      <c r="F52" t="s">
        <v>316</v>
      </c>
      <c r="G52" t="s">
        <v>376</v>
      </c>
    </row>
    <row r="53" spans="1:7" x14ac:dyDescent="0.3">
      <c r="A53" t="s">
        <v>772</v>
      </c>
      <c r="B53" t="s">
        <v>27</v>
      </c>
      <c r="C53" t="s">
        <v>516</v>
      </c>
      <c r="D53" s="1">
        <v>45119</v>
      </c>
      <c r="E53">
        <v>2090.4</v>
      </c>
      <c r="F53" t="s">
        <v>311</v>
      </c>
      <c r="G53" t="s">
        <v>363</v>
      </c>
    </row>
    <row r="54" spans="1:7" x14ac:dyDescent="0.3">
      <c r="A54" t="s">
        <v>773</v>
      </c>
      <c r="B54" t="s">
        <v>102</v>
      </c>
      <c r="C54" t="s">
        <v>444</v>
      </c>
      <c r="D54" s="1">
        <v>44969</v>
      </c>
      <c r="E54">
        <v>1565.92</v>
      </c>
      <c r="F54" t="s">
        <v>317</v>
      </c>
      <c r="G54" t="s">
        <v>352</v>
      </c>
    </row>
    <row r="55" spans="1:7" x14ac:dyDescent="0.3">
      <c r="A55" t="s">
        <v>774</v>
      </c>
      <c r="B55" t="s">
        <v>27</v>
      </c>
      <c r="C55" t="s">
        <v>517</v>
      </c>
      <c r="D55" s="1">
        <v>45276</v>
      </c>
      <c r="E55">
        <v>4012.36</v>
      </c>
      <c r="F55" t="s">
        <v>311</v>
      </c>
      <c r="G55" t="s">
        <v>376</v>
      </c>
    </row>
    <row r="56" spans="1:7" x14ac:dyDescent="0.3">
      <c r="A56" t="s">
        <v>775</v>
      </c>
      <c r="B56" t="s">
        <v>105</v>
      </c>
      <c r="C56" t="s">
        <v>446</v>
      </c>
      <c r="D56" s="1">
        <v>45205</v>
      </c>
      <c r="E56">
        <v>1736.63</v>
      </c>
      <c r="F56" t="s">
        <v>311</v>
      </c>
      <c r="G56" t="s">
        <v>376</v>
      </c>
    </row>
    <row r="57" spans="1:7" x14ac:dyDescent="0.3">
      <c r="A57" t="s">
        <v>776</v>
      </c>
      <c r="B57" t="s">
        <v>61</v>
      </c>
      <c r="C57" t="s">
        <v>518</v>
      </c>
      <c r="D57" s="1">
        <v>44928</v>
      </c>
      <c r="E57">
        <v>4201.76</v>
      </c>
      <c r="F57" t="s">
        <v>317</v>
      </c>
      <c r="G57" t="s">
        <v>363</v>
      </c>
    </row>
    <row r="58" spans="1:7" x14ac:dyDescent="0.3">
      <c r="A58" t="s">
        <v>777</v>
      </c>
      <c r="B58" t="s">
        <v>56</v>
      </c>
      <c r="C58" t="s">
        <v>519</v>
      </c>
      <c r="D58" s="1">
        <v>45031</v>
      </c>
      <c r="E58">
        <v>2406.8200000000002</v>
      </c>
      <c r="F58" t="s">
        <v>316</v>
      </c>
      <c r="G58" t="s">
        <v>363</v>
      </c>
    </row>
    <row r="59" spans="1:7" x14ac:dyDescent="0.3">
      <c r="A59" t="s">
        <v>778</v>
      </c>
      <c r="B59" t="s">
        <v>6</v>
      </c>
      <c r="C59" t="s">
        <v>520</v>
      </c>
      <c r="D59" s="1">
        <v>45055</v>
      </c>
      <c r="E59">
        <v>3503.97</v>
      </c>
      <c r="F59" t="s">
        <v>311</v>
      </c>
      <c r="G59" t="s">
        <v>376</v>
      </c>
    </row>
    <row r="60" spans="1:7" x14ac:dyDescent="0.3">
      <c r="A60" t="s">
        <v>779</v>
      </c>
      <c r="B60" t="s">
        <v>110</v>
      </c>
      <c r="C60" t="s">
        <v>448</v>
      </c>
      <c r="D60" s="1">
        <v>44994</v>
      </c>
      <c r="E60">
        <v>929.91</v>
      </c>
      <c r="F60" t="s">
        <v>311</v>
      </c>
      <c r="G60" t="s">
        <v>352</v>
      </c>
    </row>
    <row r="61" spans="1:7" x14ac:dyDescent="0.3">
      <c r="A61" t="s">
        <v>780</v>
      </c>
      <c r="B61" t="s">
        <v>112</v>
      </c>
      <c r="C61" t="s">
        <v>450</v>
      </c>
      <c r="D61" s="1">
        <v>45252</v>
      </c>
      <c r="E61">
        <v>3307.37</v>
      </c>
      <c r="F61" t="s">
        <v>317</v>
      </c>
      <c r="G61" t="s">
        <v>352</v>
      </c>
    </row>
    <row r="62" spans="1:7" x14ac:dyDescent="0.3">
      <c r="A62" t="s">
        <v>781</v>
      </c>
      <c r="B62" t="s">
        <v>102</v>
      </c>
      <c r="C62" t="s">
        <v>521</v>
      </c>
      <c r="D62" s="1">
        <v>44941</v>
      </c>
      <c r="E62">
        <v>2532.9499999999998</v>
      </c>
      <c r="F62" t="s">
        <v>316</v>
      </c>
      <c r="G62" t="s">
        <v>363</v>
      </c>
    </row>
    <row r="63" spans="1:7" x14ac:dyDescent="0.3">
      <c r="A63" t="s">
        <v>782</v>
      </c>
      <c r="B63" t="s">
        <v>43</v>
      </c>
      <c r="C63" t="s">
        <v>522</v>
      </c>
      <c r="D63" s="1">
        <v>45091</v>
      </c>
      <c r="E63">
        <v>3139.74</v>
      </c>
      <c r="F63" t="s">
        <v>311</v>
      </c>
      <c r="G63" t="s">
        <v>363</v>
      </c>
    </row>
    <row r="64" spans="1:7" x14ac:dyDescent="0.3">
      <c r="A64" t="s">
        <v>783</v>
      </c>
      <c r="B64" t="s">
        <v>116</v>
      </c>
      <c r="C64" t="s">
        <v>452</v>
      </c>
      <c r="D64" s="1">
        <v>45106</v>
      </c>
      <c r="E64">
        <v>1256.06</v>
      </c>
      <c r="F64" t="s">
        <v>317</v>
      </c>
      <c r="G64" t="s">
        <v>376</v>
      </c>
    </row>
    <row r="65" spans="1:7" x14ac:dyDescent="0.3">
      <c r="A65" t="s">
        <v>784</v>
      </c>
      <c r="B65" t="s">
        <v>118</v>
      </c>
      <c r="C65" t="s">
        <v>454</v>
      </c>
      <c r="D65" s="1">
        <v>45077</v>
      </c>
      <c r="E65">
        <v>3815.93</v>
      </c>
      <c r="F65" t="s">
        <v>311</v>
      </c>
      <c r="G65" t="s">
        <v>363</v>
      </c>
    </row>
    <row r="66" spans="1:7" x14ac:dyDescent="0.3">
      <c r="A66" t="s">
        <v>785</v>
      </c>
      <c r="B66" t="s">
        <v>79</v>
      </c>
      <c r="C66" t="s">
        <v>523</v>
      </c>
      <c r="D66" s="1">
        <v>45040</v>
      </c>
      <c r="E66">
        <v>4382.59</v>
      </c>
      <c r="F66" t="s">
        <v>317</v>
      </c>
      <c r="G66" t="s">
        <v>376</v>
      </c>
    </row>
    <row r="67" spans="1:7" x14ac:dyDescent="0.3">
      <c r="A67" t="s">
        <v>786</v>
      </c>
      <c r="B67" t="s">
        <v>79</v>
      </c>
      <c r="C67" t="s">
        <v>524</v>
      </c>
      <c r="D67" s="1">
        <v>45056</v>
      </c>
      <c r="E67">
        <v>1475.33</v>
      </c>
      <c r="F67" t="s">
        <v>316</v>
      </c>
      <c r="G67" t="s">
        <v>352</v>
      </c>
    </row>
    <row r="68" spans="1:7" x14ac:dyDescent="0.3">
      <c r="A68" t="s">
        <v>787</v>
      </c>
      <c r="B68" t="s">
        <v>122</v>
      </c>
      <c r="C68" t="s">
        <v>456</v>
      </c>
      <c r="D68" s="1">
        <v>45148</v>
      </c>
      <c r="E68">
        <v>930.72</v>
      </c>
      <c r="F68" t="s">
        <v>316</v>
      </c>
      <c r="G68" t="s">
        <v>352</v>
      </c>
    </row>
    <row r="69" spans="1:7" x14ac:dyDescent="0.3">
      <c r="A69" t="s">
        <v>788</v>
      </c>
      <c r="B69" t="s">
        <v>49</v>
      </c>
      <c r="C69" t="s">
        <v>525</v>
      </c>
      <c r="D69" s="1">
        <v>44999</v>
      </c>
      <c r="E69">
        <v>606.37</v>
      </c>
      <c r="F69" t="s">
        <v>316</v>
      </c>
      <c r="G69" t="s">
        <v>376</v>
      </c>
    </row>
    <row r="70" spans="1:7" x14ac:dyDescent="0.3">
      <c r="A70" t="s">
        <v>789</v>
      </c>
      <c r="B70" t="s">
        <v>43</v>
      </c>
      <c r="C70" t="s">
        <v>526</v>
      </c>
      <c r="D70" s="1">
        <v>45014</v>
      </c>
      <c r="E70">
        <v>3388.87</v>
      </c>
      <c r="F70" t="s">
        <v>316</v>
      </c>
      <c r="G70" t="s">
        <v>363</v>
      </c>
    </row>
    <row r="71" spans="1:7" x14ac:dyDescent="0.3">
      <c r="A71" t="s">
        <v>790</v>
      </c>
      <c r="B71" t="s">
        <v>40</v>
      </c>
      <c r="C71" t="s">
        <v>527</v>
      </c>
      <c r="D71" s="1">
        <v>45164</v>
      </c>
      <c r="E71">
        <v>3231.92</v>
      </c>
      <c r="F71" t="s">
        <v>311</v>
      </c>
      <c r="G71" t="s">
        <v>352</v>
      </c>
    </row>
    <row r="72" spans="1:7" x14ac:dyDescent="0.3">
      <c r="A72" t="s">
        <v>791</v>
      </c>
      <c r="B72" t="s">
        <v>24</v>
      </c>
      <c r="C72" t="s">
        <v>528</v>
      </c>
      <c r="D72" s="1">
        <v>44952</v>
      </c>
      <c r="E72">
        <v>2960.14</v>
      </c>
      <c r="F72" t="s">
        <v>311</v>
      </c>
      <c r="G72" t="s">
        <v>363</v>
      </c>
    </row>
    <row r="73" spans="1:7" x14ac:dyDescent="0.3">
      <c r="A73" t="s">
        <v>792</v>
      </c>
      <c r="B73" t="s">
        <v>79</v>
      </c>
      <c r="C73" t="s">
        <v>529</v>
      </c>
      <c r="D73" s="1">
        <v>45089</v>
      </c>
      <c r="E73">
        <v>1543.76</v>
      </c>
      <c r="F73" t="s">
        <v>316</v>
      </c>
      <c r="G73" t="s">
        <v>352</v>
      </c>
    </row>
    <row r="74" spans="1:7" x14ac:dyDescent="0.3">
      <c r="A74" t="s">
        <v>793</v>
      </c>
      <c r="B74" t="s">
        <v>17</v>
      </c>
      <c r="C74" t="s">
        <v>530</v>
      </c>
      <c r="D74" s="1">
        <v>45284</v>
      </c>
      <c r="E74">
        <v>2259.08</v>
      </c>
      <c r="F74" t="s">
        <v>316</v>
      </c>
      <c r="G74" t="s">
        <v>376</v>
      </c>
    </row>
    <row r="75" spans="1:7" x14ac:dyDescent="0.3">
      <c r="A75" t="s">
        <v>794</v>
      </c>
      <c r="B75" t="s">
        <v>85</v>
      </c>
      <c r="C75" t="s">
        <v>531</v>
      </c>
      <c r="D75" s="1">
        <v>45130</v>
      </c>
      <c r="E75">
        <v>3175.14</v>
      </c>
      <c r="F75" t="s">
        <v>316</v>
      </c>
      <c r="G75" t="s">
        <v>376</v>
      </c>
    </row>
    <row r="76" spans="1:7" x14ac:dyDescent="0.3">
      <c r="A76" t="s">
        <v>795</v>
      </c>
      <c r="B76" t="s">
        <v>122</v>
      </c>
      <c r="C76" t="s">
        <v>532</v>
      </c>
      <c r="D76" s="1">
        <v>45054</v>
      </c>
      <c r="E76">
        <v>2735.45</v>
      </c>
      <c r="F76" t="s">
        <v>311</v>
      </c>
      <c r="G76" t="s">
        <v>376</v>
      </c>
    </row>
    <row r="77" spans="1:7" x14ac:dyDescent="0.3">
      <c r="A77" t="s">
        <v>796</v>
      </c>
      <c r="B77" t="s">
        <v>132</v>
      </c>
      <c r="C77" t="s">
        <v>458</v>
      </c>
      <c r="D77" s="1">
        <v>45257</v>
      </c>
      <c r="E77">
        <v>4945.03</v>
      </c>
      <c r="F77" t="s">
        <v>316</v>
      </c>
      <c r="G77" t="s">
        <v>352</v>
      </c>
    </row>
    <row r="78" spans="1:7" x14ac:dyDescent="0.3">
      <c r="A78" t="s">
        <v>797</v>
      </c>
      <c r="B78" t="s">
        <v>38</v>
      </c>
      <c r="C78" t="s">
        <v>533</v>
      </c>
      <c r="D78" s="1">
        <v>45274</v>
      </c>
      <c r="E78">
        <v>1113.98</v>
      </c>
      <c r="F78" t="s">
        <v>316</v>
      </c>
      <c r="G78" t="s">
        <v>363</v>
      </c>
    </row>
    <row r="79" spans="1:7" x14ac:dyDescent="0.3">
      <c r="A79" t="s">
        <v>798</v>
      </c>
      <c r="B79" t="s">
        <v>135</v>
      </c>
      <c r="C79" t="s">
        <v>460</v>
      </c>
      <c r="D79" s="1">
        <v>45186</v>
      </c>
      <c r="E79">
        <v>3628.15</v>
      </c>
      <c r="F79" t="s">
        <v>316</v>
      </c>
      <c r="G79" t="s">
        <v>363</v>
      </c>
    </row>
    <row r="80" spans="1:7" x14ac:dyDescent="0.3">
      <c r="A80" t="s">
        <v>799</v>
      </c>
      <c r="B80" t="s">
        <v>43</v>
      </c>
      <c r="C80" t="s">
        <v>534</v>
      </c>
      <c r="D80" s="1">
        <v>45286</v>
      </c>
      <c r="E80">
        <v>2319.4299999999998</v>
      </c>
      <c r="F80" t="s">
        <v>317</v>
      </c>
      <c r="G80" t="s">
        <v>363</v>
      </c>
    </row>
    <row r="81" spans="1:7" x14ac:dyDescent="0.3">
      <c r="A81" t="s">
        <v>800</v>
      </c>
      <c r="B81" t="s">
        <v>90</v>
      </c>
      <c r="C81" t="s">
        <v>535</v>
      </c>
      <c r="D81" s="1">
        <v>45103</v>
      </c>
      <c r="E81">
        <v>2426.9</v>
      </c>
      <c r="F81" t="s">
        <v>316</v>
      </c>
      <c r="G81" t="s">
        <v>352</v>
      </c>
    </row>
    <row r="82" spans="1:7" x14ac:dyDescent="0.3">
      <c r="A82" t="s">
        <v>801</v>
      </c>
      <c r="B82" t="s">
        <v>65</v>
      </c>
      <c r="C82" t="s">
        <v>536</v>
      </c>
      <c r="D82" s="1">
        <v>44932</v>
      </c>
      <c r="E82">
        <v>3729.19</v>
      </c>
      <c r="F82" t="s">
        <v>317</v>
      </c>
      <c r="G82" t="s">
        <v>352</v>
      </c>
    </row>
    <row r="83" spans="1:7" x14ac:dyDescent="0.3">
      <c r="A83" t="s">
        <v>802</v>
      </c>
      <c r="B83" t="s">
        <v>105</v>
      </c>
      <c r="C83" t="s">
        <v>537</v>
      </c>
      <c r="D83" s="1">
        <v>44946</v>
      </c>
      <c r="E83">
        <v>3615.96</v>
      </c>
      <c r="F83" t="s">
        <v>317</v>
      </c>
      <c r="G83" t="s">
        <v>352</v>
      </c>
    </row>
    <row r="84" spans="1:7" x14ac:dyDescent="0.3">
      <c r="A84" t="s">
        <v>803</v>
      </c>
      <c r="B84" t="s">
        <v>116</v>
      </c>
      <c r="C84" t="s">
        <v>538</v>
      </c>
      <c r="D84" s="1">
        <v>45237</v>
      </c>
      <c r="E84">
        <v>4960.6499999999996</v>
      </c>
      <c r="F84" t="s">
        <v>316</v>
      </c>
      <c r="G84" t="s">
        <v>352</v>
      </c>
    </row>
    <row r="85" spans="1:7" x14ac:dyDescent="0.3">
      <c r="A85" t="s">
        <v>804</v>
      </c>
      <c r="B85" t="s">
        <v>118</v>
      </c>
      <c r="C85" t="s">
        <v>539</v>
      </c>
      <c r="D85" s="1">
        <v>45077</v>
      </c>
      <c r="E85">
        <v>1077.77</v>
      </c>
      <c r="F85" t="s">
        <v>317</v>
      </c>
      <c r="G85" t="s">
        <v>352</v>
      </c>
    </row>
    <row r="86" spans="1:7" x14ac:dyDescent="0.3">
      <c r="A86" t="s">
        <v>805</v>
      </c>
      <c r="B86" t="s">
        <v>83</v>
      </c>
      <c r="C86" t="s">
        <v>540</v>
      </c>
      <c r="D86" s="1">
        <v>44975</v>
      </c>
      <c r="E86">
        <v>968.49</v>
      </c>
      <c r="F86" t="s">
        <v>316</v>
      </c>
      <c r="G86" t="s">
        <v>363</v>
      </c>
    </row>
    <row r="87" spans="1:7" x14ac:dyDescent="0.3">
      <c r="A87" t="s">
        <v>806</v>
      </c>
      <c r="B87" t="s">
        <v>144</v>
      </c>
      <c r="C87" t="s">
        <v>462</v>
      </c>
      <c r="D87" s="1">
        <v>45228</v>
      </c>
      <c r="E87">
        <v>3759.52</v>
      </c>
      <c r="F87" t="s">
        <v>311</v>
      </c>
      <c r="G87" t="s">
        <v>352</v>
      </c>
    </row>
    <row r="88" spans="1:7" x14ac:dyDescent="0.3">
      <c r="A88" t="s">
        <v>807</v>
      </c>
      <c r="B88" t="s">
        <v>45</v>
      </c>
      <c r="C88" t="s">
        <v>541</v>
      </c>
      <c r="D88" s="1">
        <v>45218</v>
      </c>
      <c r="E88">
        <v>3102.74</v>
      </c>
      <c r="F88" t="s">
        <v>311</v>
      </c>
      <c r="G88" t="s">
        <v>352</v>
      </c>
    </row>
    <row r="89" spans="1:7" x14ac:dyDescent="0.3">
      <c r="A89" t="s">
        <v>808</v>
      </c>
      <c r="B89" t="s">
        <v>147</v>
      </c>
      <c r="C89" t="s">
        <v>464</v>
      </c>
      <c r="D89" s="1">
        <v>45048</v>
      </c>
      <c r="E89">
        <v>1733.72</v>
      </c>
      <c r="F89" t="s">
        <v>311</v>
      </c>
      <c r="G89" t="s">
        <v>363</v>
      </c>
    </row>
    <row r="90" spans="1:7" x14ac:dyDescent="0.3">
      <c r="A90" t="s">
        <v>809</v>
      </c>
      <c r="B90" t="s">
        <v>38</v>
      </c>
      <c r="C90" t="s">
        <v>542</v>
      </c>
      <c r="D90" s="1">
        <v>44971</v>
      </c>
      <c r="E90">
        <v>857.39</v>
      </c>
      <c r="F90" t="s">
        <v>311</v>
      </c>
      <c r="G90" t="s">
        <v>352</v>
      </c>
    </row>
    <row r="91" spans="1:7" x14ac:dyDescent="0.3">
      <c r="A91" t="s">
        <v>810</v>
      </c>
      <c r="B91" t="s">
        <v>45</v>
      </c>
      <c r="C91" t="s">
        <v>543</v>
      </c>
      <c r="D91" s="1">
        <v>45078</v>
      </c>
      <c r="E91">
        <v>885.46</v>
      </c>
      <c r="F91" t="s">
        <v>317</v>
      </c>
      <c r="G91" t="s">
        <v>363</v>
      </c>
    </row>
    <row r="92" spans="1:7" x14ac:dyDescent="0.3">
      <c r="A92" t="s">
        <v>811</v>
      </c>
      <c r="B92" t="s">
        <v>85</v>
      </c>
      <c r="C92" t="s">
        <v>544</v>
      </c>
      <c r="D92" s="1">
        <v>45088</v>
      </c>
      <c r="E92">
        <v>4523.8599999999997</v>
      </c>
      <c r="F92" t="s">
        <v>316</v>
      </c>
      <c r="G92" t="s">
        <v>363</v>
      </c>
    </row>
    <row r="93" spans="1:7" x14ac:dyDescent="0.3">
      <c r="A93" t="s">
        <v>812</v>
      </c>
      <c r="B93" t="s">
        <v>45</v>
      </c>
      <c r="C93" t="s">
        <v>545</v>
      </c>
      <c r="D93" s="1">
        <v>44956</v>
      </c>
      <c r="E93">
        <v>1363.4</v>
      </c>
      <c r="F93" t="s">
        <v>316</v>
      </c>
      <c r="G93" t="s">
        <v>376</v>
      </c>
    </row>
    <row r="94" spans="1:7" x14ac:dyDescent="0.3">
      <c r="A94" t="s">
        <v>813</v>
      </c>
      <c r="B94" t="s">
        <v>1</v>
      </c>
      <c r="C94" t="s">
        <v>546</v>
      </c>
      <c r="D94" s="1">
        <v>45025</v>
      </c>
      <c r="E94">
        <v>1955.17</v>
      </c>
      <c r="F94" t="s">
        <v>316</v>
      </c>
      <c r="G94" t="s">
        <v>376</v>
      </c>
    </row>
    <row r="95" spans="1:7" x14ac:dyDescent="0.3">
      <c r="A95" t="s">
        <v>814</v>
      </c>
      <c r="B95" t="s">
        <v>154</v>
      </c>
      <c r="C95" t="s">
        <v>466</v>
      </c>
      <c r="D95" s="1">
        <v>45024</v>
      </c>
      <c r="E95">
        <v>1519.95</v>
      </c>
      <c r="F95" t="s">
        <v>311</v>
      </c>
      <c r="G95" t="s">
        <v>376</v>
      </c>
    </row>
    <row r="96" spans="1:7" x14ac:dyDescent="0.3">
      <c r="A96" t="s">
        <v>815</v>
      </c>
      <c r="B96" t="s">
        <v>156</v>
      </c>
      <c r="C96" t="s">
        <v>468</v>
      </c>
      <c r="D96" s="1">
        <v>45055</v>
      </c>
      <c r="E96">
        <v>2097.48</v>
      </c>
      <c r="F96" t="s">
        <v>311</v>
      </c>
      <c r="G96" t="s">
        <v>376</v>
      </c>
    </row>
    <row r="97" spans="1:7" x14ac:dyDescent="0.3">
      <c r="A97" t="s">
        <v>816</v>
      </c>
      <c r="B97" t="s">
        <v>99</v>
      </c>
      <c r="C97" t="s">
        <v>547</v>
      </c>
      <c r="D97" s="1">
        <v>45114</v>
      </c>
      <c r="E97">
        <v>812.41</v>
      </c>
      <c r="F97" t="s">
        <v>316</v>
      </c>
      <c r="G97" t="s">
        <v>352</v>
      </c>
    </row>
    <row r="98" spans="1:7" x14ac:dyDescent="0.3">
      <c r="A98" t="s">
        <v>817</v>
      </c>
      <c r="B98" t="s">
        <v>116</v>
      </c>
      <c r="C98" t="s">
        <v>548</v>
      </c>
      <c r="D98" s="1">
        <v>45052</v>
      </c>
      <c r="E98">
        <v>2835.77</v>
      </c>
      <c r="F98" t="s">
        <v>311</v>
      </c>
      <c r="G98" t="s">
        <v>376</v>
      </c>
    </row>
    <row r="99" spans="1:7" x14ac:dyDescent="0.3">
      <c r="A99" t="s">
        <v>818</v>
      </c>
      <c r="B99" t="s">
        <v>21</v>
      </c>
      <c r="C99" t="s">
        <v>549</v>
      </c>
      <c r="D99" s="1">
        <v>45002</v>
      </c>
      <c r="E99">
        <v>804.26</v>
      </c>
      <c r="F99" t="s">
        <v>316</v>
      </c>
      <c r="G99" t="s">
        <v>363</v>
      </c>
    </row>
    <row r="100" spans="1:7" x14ac:dyDescent="0.3">
      <c r="A100" t="s">
        <v>819</v>
      </c>
      <c r="B100" t="s">
        <v>161</v>
      </c>
      <c r="C100" t="s">
        <v>470</v>
      </c>
      <c r="D100" s="1">
        <v>45111</v>
      </c>
      <c r="E100">
        <v>4101.6000000000004</v>
      </c>
      <c r="F100" t="s">
        <v>316</v>
      </c>
      <c r="G100" t="s">
        <v>352</v>
      </c>
    </row>
    <row r="101" spans="1:7" x14ac:dyDescent="0.3">
      <c r="A101" t="s">
        <v>820</v>
      </c>
      <c r="B101" t="s">
        <v>38</v>
      </c>
      <c r="C101" t="s">
        <v>550</v>
      </c>
      <c r="D101" s="1">
        <v>44987</v>
      </c>
      <c r="E101">
        <v>1551.7</v>
      </c>
      <c r="F101" t="s">
        <v>316</v>
      </c>
      <c r="G101" t="s">
        <v>376</v>
      </c>
    </row>
    <row r="102" spans="1:7" x14ac:dyDescent="0.3">
      <c r="A102" t="s">
        <v>821</v>
      </c>
      <c r="B102" t="s">
        <v>77</v>
      </c>
      <c r="C102" t="s">
        <v>551</v>
      </c>
      <c r="D102" s="1">
        <v>45190</v>
      </c>
      <c r="E102">
        <v>2930.05</v>
      </c>
      <c r="F102" t="s">
        <v>316</v>
      </c>
      <c r="G102" t="s">
        <v>363</v>
      </c>
    </row>
    <row r="103" spans="1:7" x14ac:dyDescent="0.3">
      <c r="A103" t="s">
        <v>822</v>
      </c>
      <c r="B103" t="s">
        <v>14</v>
      </c>
      <c r="C103" t="s">
        <v>552</v>
      </c>
      <c r="D103" s="1">
        <v>45224</v>
      </c>
      <c r="E103">
        <v>4460.3599999999997</v>
      </c>
      <c r="F103" t="s">
        <v>316</v>
      </c>
      <c r="G103" t="s">
        <v>352</v>
      </c>
    </row>
    <row r="104" spans="1:7" x14ac:dyDescent="0.3">
      <c r="A104" t="s">
        <v>823</v>
      </c>
      <c r="B104" t="s">
        <v>74</v>
      </c>
      <c r="C104" t="s">
        <v>553</v>
      </c>
      <c r="D104" s="1">
        <v>44950</v>
      </c>
      <c r="E104">
        <v>3428.95</v>
      </c>
      <c r="F104" t="s">
        <v>316</v>
      </c>
      <c r="G104" t="s">
        <v>352</v>
      </c>
    </row>
    <row r="105" spans="1:7" x14ac:dyDescent="0.3">
      <c r="A105" t="s">
        <v>824</v>
      </c>
      <c r="B105" t="s">
        <v>77</v>
      </c>
      <c r="C105" t="s">
        <v>554</v>
      </c>
      <c r="D105" s="1">
        <v>45034</v>
      </c>
      <c r="E105">
        <v>2898.31</v>
      </c>
      <c r="F105" t="s">
        <v>316</v>
      </c>
      <c r="G105" t="s">
        <v>376</v>
      </c>
    </row>
    <row r="106" spans="1:7" x14ac:dyDescent="0.3">
      <c r="A106" t="s">
        <v>825</v>
      </c>
      <c r="B106" t="s">
        <v>85</v>
      </c>
      <c r="C106" t="s">
        <v>555</v>
      </c>
      <c r="D106" s="1">
        <v>45152</v>
      </c>
      <c r="E106">
        <v>1959.5</v>
      </c>
      <c r="F106" t="s">
        <v>311</v>
      </c>
      <c r="G106" t="s">
        <v>352</v>
      </c>
    </row>
    <row r="107" spans="1:7" x14ac:dyDescent="0.3">
      <c r="A107" t="s">
        <v>826</v>
      </c>
      <c r="B107" t="s">
        <v>49</v>
      </c>
      <c r="C107" t="s">
        <v>556</v>
      </c>
      <c r="D107" s="1">
        <v>45228</v>
      </c>
      <c r="E107">
        <v>1998.51</v>
      </c>
      <c r="F107" t="s">
        <v>316</v>
      </c>
      <c r="G107" t="s">
        <v>363</v>
      </c>
    </row>
    <row r="108" spans="1:7" x14ac:dyDescent="0.3">
      <c r="A108" t="s">
        <v>827</v>
      </c>
      <c r="B108" t="s">
        <v>170</v>
      </c>
      <c r="C108" t="s">
        <v>472</v>
      </c>
      <c r="D108" s="1">
        <v>45033</v>
      </c>
      <c r="E108">
        <v>3512.69</v>
      </c>
      <c r="F108" t="s">
        <v>316</v>
      </c>
      <c r="G108" t="s">
        <v>352</v>
      </c>
    </row>
    <row r="109" spans="1:7" x14ac:dyDescent="0.3">
      <c r="A109" t="s">
        <v>828</v>
      </c>
      <c r="B109" t="s">
        <v>102</v>
      </c>
      <c r="C109" t="s">
        <v>557</v>
      </c>
      <c r="D109" s="1">
        <v>45037</v>
      </c>
      <c r="E109">
        <v>4973.63</v>
      </c>
      <c r="F109" t="s">
        <v>311</v>
      </c>
      <c r="G109" t="s">
        <v>363</v>
      </c>
    </row>
    <row r="110" spans="1:7" x14ac:dyDescent="0.3">
      <c r="A110" t="s">
        <v>829</v>
      </c>
      <c r="B110" t="s">
        <v>118</v>
      </c>
      <c r="C110" t="s">
        <v>558</v>
      </c>
      <c r="D110" s="1">
        <v>45136</v>
      </c>
      <c r="E110">
        <v>3478.28</v>
      </c>
      <c r="F110" t="s">
        <v>311</v>
      </c>
      <c r="G110" t="s">
        <v>352</v>
      </c>
    </row>
    <row r="111" spans="1:7" x14ac:dyDescent="0.3">
      <c r="A111" t="s">
        <v>830</v>
      </c>
      <c r="B111" t="s">
        <v>61</v>
      </c>
      <c r="C111" t="s">
        <v>559</v>
      </c>
      <c r="D111" s="1">
        <v>45126</v>
      </c>
      <c r="E111">
        <v>3010.03</v>
      </c>
      <c r="F111" t="s">
        <v>311</v>
      </c>
      <c r="G111" t="s">
        <v>376</v>
      </c>
    </row>
    <row r="112" spans="1:7" x14ac:dyDescent="0.3">
      <c r="A112" t="s">
        <v>831</v>
      </c>
      <c r="B112" t="s">
        <v>118</v>
      </c>
      <c r="C112" t="s">
        <v>560</v>
      </c>
      <c r="D112" s="1">
        <v>45068</v>
      </c>
      <c r="E112">
        <v>3787.93</v>
      </c>
      <c r="F112" t="s">
        <v>316</v>
      </c>
      <c r="G112" t="s">
        <v>363</v>
      </c>
    </row>
    <row r="113" spans="1:7" x14ac:dyDescent="0.3">
      <c r="A113" t="s">
        <v>832</v>
      </c>
      <c r="B113" t="s">
        <v>10</v>
      </c>
      <c r="C113" t="s">
        <v>561</v>
      </c>
      <c r="D113" s="1">
        <v>44937</v>
      </c>
      <c r="E113">
        <v>2593.4299999999998</v>
      </c>
      <c r="F113" t="s">
        <v>317</v>
      </c>
      <c r="G113" t="s">
        <v>352</v>
      </c>
    </row>
    <row r="114" spans="1:7" x14ac:dyDescent="0.3">
      <c r="A114" t="s">
        <v>833</v>
      </c>
      <c r="B114" t="s">
        <v>77</v>
      </c>
      <c r="C114" t="s">
        <v>562</v>
      </c>
      <c r="D114" s="1">
        <v>45254</v>
      </c>
      <c r="E114">
        <v>770.64</v>
      </c>
      <c r="F114" t="s">
        <v>317</v>
      </c>
      <c r="G114" t="s">
        <v>352</v>
      </c>
    </row>
    <row r="115" spans="1:7" x14ac:dyDescent="0.3">
      <c r="A115" t="s">
        <v>834</v>
      </c>
      <c r="B115" t="s">
        <v>178</v>
      </c>
      <c r="C115" t="s">
        <v>474</v>
      </c>
      <c r="D115" s="1">
        <v>45146</v>
      </c>
      <c r="E115">
        <v>3030.34</v>
      </c>
      <c r="F115" t="s">
        <v>311</v>
      </c>
      <c r="G115" t="s">
        <v>352</v>
      </c>
    </row>
    <row r="116" spans="1:7" x14ac:dyDescent="0.3">
      <c r="A116" t="s">
        <v>835</v>
      </c>
      <c r="B116" t="s">
        <v>61</v>
      </c>
      <c r="C116" t="s">
        <v>563</v>
      </c>
      <c r="D116" s="1">
        <v>45224</v>
      </c>
      <c r="E116">
        <v>4809.3100000000004</v>
      </c>
      <c r="F116" t="s">
        <v>317</v>
      </c>
      <c r="G116" t="s">
        <v>363</v>
      </c>
    </row>
    <row r="117" spans="1:7" x14ac:dyDescent="0.3">
      <c r="A117" t="s">
        <v>836</v>
      </c>
      <c r="B117" t="s">
        <v>30</v>
      </c>
      <c r="C117" t="s">
        <v>564</v>
      </c>
      <c r="D117" s="1">
        <v>45114</v>
      </c>
      <c r="E117">
        <v>1288.8599999999999</v>
      </c>
      <c r="F117" t="s">
        <v>311</v>
      </c>
      <c r="G117" t="s">
        <v>363</v>
      </c>
    </row>
    <row r="118" spans="1:7" x14ac:dyDescent="0.3">
      <c r="A118" t="s">
        <v>837</v>
      </c>
      <c r="B118" t="s">
        <v>6</v>
      </c>
      <c r="C118" t="s">
        <v>565</v>
      </c>
      <c r="D118" s="1">
        <v>45097</v>
      </c>
      <c r="E118">
        <v>3605.02</v>
      </c>
      <c r="F118" t="s">
        <v>316</v>
      </c>
      <c r="G118" t="s">
        <v>363</v>
      </c>
    </row>
    <row r="119" spans="1:7" x14ac:dyDescent="0.3">
      <c r="A119" t="s">
        <v>838</v>
      </c>
      <c r="B119" t="s">
        <v>102</v>
      </c>
      <c r="C119" t="s">
        <v>566</v>
      </c>
      <c r="D119" s="1">
        <v>45147</v>
      </c>
      <c r="E119">
        <v>1404.2</v>
      </c>
      <c r="F119" t="s">
        <v>317</v>
      </c>
      <c r="G119" t="s">
        <v>376</v>
      </c>
    </row>
    <row r="120" spans="1:7" x14ac:dyDescent="0.3">
      <c r="A120" t="s">
        <v>839</v>
      </c>
      <c r="B120" t="s">
        <v>83</v>
      </c>
      <c r="C120" t="s">
        <v>567</v>
      </c>
      <c r="D120" s="1">
        <v>45278</v>
      </c>
      <c r="E120">
        <v>2911.22</v>
      </c>
      <c r="F120" t="s">
        <v>316</v>
      </c>
      <c r="G120" t="s">
        <v>376</v>
      </c>
    </row>
    <row r="121" spans="1:7" x14ac:dyDescent="0.3">
      <c r="A121" t="s">
        <v>840</v>
      </c>
      <c r="B121" t="s">
        <v>6</v>
      </c>
      <c r="C121" t="s">
        <v>568</v>
      </c>
      <c r="D121" s="1">
        <v>45268</v>
      </c>
      <c r="E121">
        <v>935.04</v>
      </c>
      <c r="F121" t="s">
        <v>317</v>
      </c>
      <c r="G121" t="s">
        <v>363</v>
      </c>
    </row>
    <row r="122" spans="1:7" x14ac:dyDescent="0.3">
      <c r="A122" t="s">
        <v>841</v>
      </c>
      <c r="B122" t="s">
        <v>49</v>
      </c>
      <c r="C122" t="s">
        <v>569</v>
      </c>
      <c r="D122" s="1">
        <v>45023</v>
      </c>
      <c r="E122">
        <v>2526.67</v>
      </c>
      <c r="F122" t="s">
        <v>316</v>
      </c>
      <c r="G122" t="s">
        <v>352</v>
      </c>
    </row>
    <row r="123" spans="1:7" x14ac:dyDescent="0.3">
      <c r="A123" t="s">
        <v>842</v>
      </c>
      <c r="B123" t="s">
        <v>43</v>
      </c>
      <c r="C123" t="s">
        <v>570</v>
      </c>
      <c r="D123" s="1">
        <v>45118</v>
      </c>
      <c r="E123">
        <v>3902.73</v>
      </c>
      <c r="F123" t="s">
        <v>317</v>
      </c>
      <c r="G123" t="s">
        <v>376</v>
      </c>
    </row>
    <row r="124" spans="1:7" x14ac:dyDescent="0.3">
      <c r="A124" t="s">
        <v>843</v>
      </c>
      <c r="B124" t="s">
        <v>61</v>
      </c>
      <c r="C124" t="s">
        <v>571</v>
      </c>
      <c r="D124" s="1">
        <v>44985</v>
      </c>
      <c r="E124">
        <v>2064.0700000000002</v>
      </c>
      <c r="F124" t="s">
        <v>316</v>
      </c>
      <c r="G124" t="s">
        <v>363</v>
      </c>
    </row>
    <row r="125" spans="1:7" x14ac:dyDescent="0.3">
      <c r="A125" t="s">
        <v>844</v>
      </c>
      <c r="B125" t="s">
        <v>135</v>
      </c>
      <c r="C125" t="s">
        <v>572</v>
      </c>
      <c r="D125" s="1">
        <v>45001</v>
      </c>
      <c r="E125">
        <v>3492.1</v>
      </c>
      <c r="F125" t="s">
        <v>316</v>
      </c>
      <c r="G125" t="s">
        <v>352</v>
      </c>
    </row>
    <row r="126" spans="1:7" x14ac:dyDescent="0.3">
      <c r="A126" t="s">
        <v>845</v>
      </c>
      <c r="B126" t="s">
        <v>83</v>
      </c>
      <c r="C126" t="s">
        <v>573</v>
      </c>
      <c r="D126" s="1">
        <v>44975</v>
      </c>
      <c r="E126">
        <v>4079.52</v>
      </c>
      <c r="F126" t="s">
        <v>317</v>
      </c>
      <c r="G126" t="s">
        <v>376</v>
      </c>
    </row>
    <row r="127" spans="1:7" x14ac:dyDescent="0.3">
      <c r="A127" t="s">
        <v>846</v>
      </c>
      <c r="B127" t="s">
        <v>14</v>
      </c>
      <c r="C127" t="s">
        <v>574</v>
      </c>
      <c r="D127" s="1">
        <v>45232</v>
      </c>
      <c r="E127">
        <v>4672.3</v>
      </c>
      <c r="F127" t="s">
        <v>316</v>
      </c>
      <c r="G127" t="s">
        <v>352</v>
      </c>
    </row>
    <row r="128" spans="1:7" x14ac:dyDescent="0.3">
      <c r="A128" t="s">
        <v>847</v>
      </c>
      <c r="B128" t="s">
        <v>118</v>
      </c>
      <c r="C128" t="s">
        <v>575</v>
      </c>
      <c r="D128" s="1">
        <v>45243</v>
      </c>
      <c r="E128">
        <v>1555.89</v>
      </c>
      <c r="F128" t="s">
        <v>316</v>
      </c>
      <c r="G128" t="s">
        <v>352</v>
      </c>
    </row>
    <row r="129" spans="1:7" x14ac:dyDescent="0.3">
      <c r="A129" t="s">
        <v>848</v>
      </c>
      <c r="B129" t="s">
        <v>154</v>
      </c>
      <c r="C129" t="s">
        <v>576</v>
      </c>
      <c r="D129" s="1">
        <v>45031</v>
      </c>
      <c r="E129">
        <v>2296.92</v>
      </c>
      <c r="F129" t="s">
        <v>316</v>
      </c>
      <c r="G129" t="s">
        <v>352</v>
      </c>
    </row>
    <row r="130" spans="1:7" x14ac:dyDescent="0.3">
      <c r="A130" t="s">
        <v>849</v>
      </c>
      <c r="B130" t="s">
        <v>63</v>
      </c>
      <c r="C130" t="s">
        <v>577</v>
      </c>
      <c r="D130" s="1">
        <v>45163</v>
      </c>
      <c r="E130">
        <v>1185.8699999999999</v>
      </c>
      <c r="F130" t="s">
        <v>317</v>
      </c>
      <c r="G130" t="s">
        <v>352</v>
      </c>
    </row>
    <row r="131" spans="1:7" x14ac:dyDescent="0.3">
      <c r="A131" t="s">
        <v>850</v>
      </c>
      <c r="B131" t="s">
        <v>144</v>
      </c>
      <c r="C131" t="s">
        <v>578</v>
      </c>
      <c r="D131" s="1">
        <v>44980</v>
      </c>
      <c r="E131">
        <v>4966.18</v>
      </c>
      <c r="F131" t="s">
        <v>317</v>
      </c>
      <c r="G131" t="s">
        <v>376</v>
      </c>
    </row>
    <row r="132" spans="1:7" x14ac:dyDescent="0.3">
      <c r="A132" t="s">
        <v>851</v>
      </c>
      <c r="B132" t="s">
        <v>61</v>
      </c>
      <c r="C132" t="s">
        <v>579</v>
      </c>
      <c r="D132" s="1">
        <v>45057</v>
      </c>
      <c r="E132">
        <v>4671.5</v>
      </c>
      <c r="F132" t="s">
        <v>316</v>
      </c>
      <c r="G132" t="s">
        <v>376</v>
      </c>
    </row>
    <row r="133" spans="1:7" x14ac:dyDescent="0.3">
      <c r="A133" t="s">
        <v>852</v>
      </c>
      <c r="B133" t="s">
        <v>112</v>
      </c>
      <c r="C133" t="s">
        <v>580</v>
      </c>
      <c r="D133" s="1">
        <v>45133</v>
      </c>
      <c r="E133">
        <v>2929.81</v>
      </c>
      <c r="F133" t="s">
        <v>316</v>
      </c>
      <c r="G133" t="s">
        <v>376</v>
      </c>
    </row>
    <row r="134" spans="1:7" x14ac:dyDescent="0.3">
      <c r="A134" t="s">
        <v>853</v>
      </c>
      <c r="B134" t="s">
        <v>10</v>
      </c>
      <c r="C134" t="s">
        <v>581</v>
      </c>
      <c r="D134" s="1">
        <v>45008</v>
      </c>
      <c r="E134">
        <v>4289.1499999999996</v>
      </c>
      <c r="F134" t="s">
        <v>317</v>
      </c>
      <c r="G134" t="s">
        <v>363</v>
      </c>
    </row>
    <row r="135" spans="1:7" x14ac:dyDescent="0.3">
      <c r="A135" t="s">
        <v>854</v>
      </c>
      <c r="B135" t="s">
        <v>14</v>
      </c>
      <c r="C135" t="s">
        <v>582</v>
      </c>
      <c r="D135" s="1">
        <v>45216</v>
      </c>
      <c r="E135">
        <v>2844.31</v>
      </c>
      <c r="F135" t="s">
        <v>317</v>
      </c>
      <c r="G135" t="s">
        <v>376</v>
      </c>
    </row>
    <row r="136" spans="1:7" x14ac:dyDescent="0.3">
      <c r="A136" t="s">
        <v>855</v>
      </c>
      <c r="B136" t="s">
        <v>36</v>
      </c>
      <c r="C136" t="s">
        <v>583</v>
      </c>
      <c r="D136" s="1">
        <v>45178</v>
      </c>
      <c r="E136">
        <v>3306.14</v>
      </c>
      <c r="F136" t="s">
        <v>316</v>
      </c>
      <c r="G136" t="s">
        <v>352</v>
      </c>
    </row>
    <row r="137" spans="1:7" x14ac:dyDescent="0.3">
      <c r="A137" t="s">
        <v>856</v>
      </c>
      <c r="B137" t="s">
        <v>135</v>
      </c>
      <c r="C137" t="s">
        <v>584</v>
      </c>
      <c r="D137" s="1">
        <v>45059</v>
      </c>
      <c r="E137">
        <v>901.06</v>
      </c>
      <c r="F137" t="s">
        <v>316</v>
      </c>
      <c r="G137" t="s">
        <v>376</v>
      </c>
    </row>
    <row r="138" spans="1:7" x14ac:dyDescent="0.3">
      <c r="A138" t="s">
        <v>857</v>
      </c>
      <c r="B138" t="s">
        <v>93</v>
      </c>
      <c r="C138" t="s">
        <v>585</v>
      </c>
      <c r="D138" s="1">
        <v>45224</v>
      </c>
      <c r="E138">
        <v>3898.72</v>
      </c>
      <c r="F138" t="s">
        <v>316</v>
      </c>
      <c r="G138" t="s">
        <v>352</v>
      </c>
    </row>
    <row r="139" spans="1:7" x14ac:dyDescent="0.3">
      <c r="A139" t="s">
        <v>858</v>
      </c>
      <c r="B139" t="s">
        <v>61</v>
      </c>
      <c r="C139" t="s">
        <v>586</v>
      </c>
      <c r="D139" s="1">
        <v>45286</v>
      </c>
      <c r="E139">
        <v>1074.71</v>
      </c>
      <c r="F139" t="s">
        <v>311</v>
      </c>
      <c r="G139" t="s">
        <v>363</v>
      </c>
    </row>
    <row r="140" spans="1:7" x14ac:dyDescent="0.3">
      <c r="A140" t="s">
        <v>859</v>
      </c>
      <c r="B140" t="s">
        <v>77</v>
      </c>
      <c r="C140" t="s">
        <v>587</v>
      </c>
      <c r="D140" s="1">
        <v>45209</v>
      </c>
      <c r="E140">
        <v>4217.3</v>
      </c>
      <c r="F140" t="s">
        <v>317</v>
      </c>
      <c r="G140" t="s">
        <v>352</v>
      </c>
    </row>
    <row r="141" spans="1:7" x14ac:dyDescent="0.3">
      <c r="A141" t="s">
        <v>860</v>
      </c>
      <c r="B141" t="s">
        <v>43</v>
      </c>
      <c r="C141" t="s">
        <v>588</v>
      </c>
      <c r="D141" s="1">
        <v>44962</v>
      </c>
      <c r="E141">
        <v>4019.13</v>
      </c>
      <c r="F141" t="s">
        <v>311</v>
      </c>
      <c r="G141" t="s">
        <v>352</v>
      </c>
    </row>
    <row r="142" spans="1:7" x14ac:dyDescent="0.3">
      <c r="A142" t="s">
        <v>861</v>
      </c>
      <c r="B142" t="s">
        <v>154</v>
      </c>
      <c r="C142" t="s">
        <v>589</v>
      </c>
      <c r="D142" s="1">
        <v>45092</v>
      </c>
      <c r="E142">
        <v>3689.35</v>
      </c>
      <c r="F142" t="s">
        <v>317</v>
      </c>
      <c r="G142" t="s">
        <v>352</v>
      </c>
    </row>
    <row r="143" spans="1:7" x14ac:dyDescent="0.3">
      <c r="A143" t="s">
        <v>862</v>
      </c>
      <c r="B143" t="s">
        <v>93</v>
      </c>
      <c r="C143" t="s">
        <v>590</v>
      </c>
      <c r="D143" s="1">
        <v>45231</v>
      </c>
      <c r="E143">
        <v>662.72</v>
      </c>
      <c r="F143" t="s">
        <v>317</v>
      </c>
      <c r="G143" t="s">
        <v>363</v>
      </c>
    </row>
    <row r="144" spans="1:7" x14ac:dyDescent="0.3">
      <c r="A144" t="s">
        <v>863</v>
      </c>
      <c r="B144" t="s">
        <v>43</v>
      </c>
      <c r="C144" t="s">
        <v>591</v>
      </c>
      <c r="D144" s="1">
        <v>45190</v>
      </c>
      <c r="E144">
        <v>1864.08</v>
      </c>
      <c r="F144" t="s">
        <v>317</v>
      </c>
      <c r="G144" t="s">
        <v>376</v>
      </c>
    </row>
    <row r="145" spans="1:7" x14ac:dyDescent="0.3">
      <c r="A145" t="s">
        <v>864</v>
      </c>
      <c r="B145" t="s">
        <v>170</v>
      </c>
      <c r="C145" t="s">
        <v>592</v>
      </c>
      <c r="D145" s="1">
        <v>45154</v>
      </c>
      <c r="E145">
        <v>1684.01</v>
      </c>
      <c r="F145" t="s">
        <v>317</v>
      </c>
      <c r="G145" t="s">
        <v>376</v>
      </c>
    </row>
    <row r="146" spans="1:7" x14ac:dyDescent="0.3">
      <c r="A146" t="s">
        <v>865</v>
      </c>
      <c r="B146" t="s">
        <v>156</v>
      </c>
      <c r="C146" t="s">
        <v>593</v>
      </c>
      <c r="D146" s="1">
        <v>45241</v>
      </c>
      <c r="E146">
        <v>2120.61</v>
      </c>
      <c r="F146" t="s">
        <v>317</v>
      </c>
      <c r="G146" t="s">
        <v>363</v>
      </c>
    </row>
    <row r="147" spans="1:7" x14ac:dyDescent="0.3">
      <c r="A147" t="s">
        <v>866</v>
      </c>
      <c r="B147" t="s">
        <v>56</v>
      </c>
      <c r="C147" t="s">
        <v>594</v>
      </c>
      <c r="D147" s="1">
        <v>44931</v>
      </c>
      <c r="E147">
        <v>894.39</v>
      </c>
      <c r="F147" t="s">
        <v>317</v>
      </c>
      <c r="G147" t="s">
        <v>352</v>
      </c>
    </row>
    <row r="148" spans="1:7" x14ac:dyDescent="0.3">
      <c r="A148" t="s">
        <v>867</v>
      </c>
      <c r="B148" t="s">
        <v>54</v>
      </c>
      <c r="C148" t="s">
        <v>595</v>
      </c>
      <c r="D148" s="1">
        <v>45243</v>
      </c>
      <c r="E148">
        <v>4716.3100000000004</v>
      </c>
      <c r="F148" t="s">
        <v>317</v>
      </c>
      <c r="G148" t="s">
        <v>376</v>
      </c>
    </row>
    <row r="149" spans="1:7" x14ac:dyDescent="0.3">
      <c r="A149" t="s">
        <v>868</v>
      </c>
      <c r="B149" t="s">
        <v>90</v>
      </c>
      <c r="C149" t="s">
        <v>596</v>
      </c>
      <c r="D149" s="1">
        <v>45266</v>
      </c>
      <c r="E149">
        <v>2992.11</v>
      </c>
      <c r="F149" t="s">
        <v>311</v>
      </c>
      <c r="G149" t="s">
        <v>363</v>
      </c>
    </row>
    <row r="150" spans="1:7" x14ac:dyDescent="0.3">
      <c r="A150" t="s">
        <v>869</v>
      </c>
      <c r="B150" t="s">
        <v>93</v>
      </c>
      <c r="C150" t="s">
        <v>597</v>
      </c>
      <c r="D150" s="1">
        <v>45133</v>
      </c>
      <c r="E150">
        <v>1874.86</v>
      </c>
      <c r="F150" t="s">
        <v>316</v>
      </c>
      <c r="G150" t="s">
        <v>376</v>
      </c>
    </row>
    <row r="151" spans="1:7" x14ac:dyDescent="0.3">
      <c r="A151" t="s">
        <v>870</v>
      </c>
      <c r="B151" t="s">
        <v>59</v>
      </c>
      <c r="C151" t="s">
        <v>598</v>
      </c>
      <c r="D151" s="1">
        <v>45154</v>
      </c>
      <c r="E151">
        <v>2286.42</v>
      </c>
      <c r="F151" t="s">
        <v>316</v>
      </c>
      <c r="G151" t="s">
        <v>363</v>
      </c>
    </row>
    <row r="152" spans="1:7" x14ac:dyDescent="0.3">
      <c r="A152" t="s">
        <v>871</v>
      </c>
      <c r="B152" t="s">
        <v>27</v>
      </c>
      <c r="C152" t="s">
        <v>599</v>
      </c>
      <c r="D152" s="1">
        <v>44954</v>
      </c>
      <c r="E152">
        <v>2512.41</v>
      </c>
      <c r="F152" t="s">
        <v>311</v>
      </c>
      <c r="G152" t="s">
        <v>352</v>
      </c>
    </row>
    <row r="153" spans="1:7" x14ac:dyDescent="0.3">
      <c r="A153" t="s">
        <v>872</v>
      </c>
      <c r="B153" t="s">
        <v>33</v>
      </c>
      <c r="C153" t="s">
        <v>600</v>
      </c>
      <c r="D153" s="1">
        <v>45030</v>
      </c>
      <c r="E153">
        <v>3202.67</v>
      </c>
      <c r="F153" t="s">
        <v>311</v>
      </c>
      <c r="G153" t="s">
        <v>376</v>
      </c>
    </row>
    <row r="154" spans="1:7" x14ac:dyDescent="0.3">
      <c r="A154" t="s">
        <v>873</v>
      </c>
      <c r="B154" t="s">
        <v>118</v>
      </c>
      <c r="C154" t="s">
        <v>601</v>
      </c>
      <c r="D154" s="1">
        <v>45115</v>
      </c>
      <c r="E154">
        <v>2820.56</v>
      </c>
      <c r="F154" t="s">
        <v>311</v>
      </c>
      <c r="G154" t="s">
        <v>363</v>
      </c>
    </row>
    <row r="155" spans="1:7" x14ac:dyDescent="0.3">
      <c r="A155" t="s">
        <v>874</v>
      </c>
      <c r="B155" t="s">
        <v>43</v>
      </c>
      <c r="C155" t="s">
        <v>602</v>
      </c>
      <c r="D155" s="1">
        <v>44991</v>
      </c>
      <c r="E155">
        <v>4637.26</v>
      </c>
      <c r="F155" t="s">
        <v>311</v>
      </c>
      <c r="G155" t="s">
        <v>376</v>
      </c>
    </row>
    <row r="156" spans="1:7" x14ac:dyDescent="0.3">
      <c r="A156" t="s">
        <v>875</v>
      </c>
      <c r="B156" t="s">
        <v>14</v>
      </c>
      <c r="C156" t="s">
        <v>603</v>
      </c>
      <c r="D156" s="1">
        <v>44929</v>
      </c>
      <c r="E156">
        <v>2736.34</v>
      </c>
      <c r="F156" t="s">
        <v>317</v>
      </c>
      <c r="G156" t="s">
        <v>376</v>
      </c>
    </row>
    <row r="157" spans="1:7" x14ac:dyDescent="0.3">
      <c r="A157" t="s">
        <v>876</v>
      </c>
      <c r="B157" t="s">
        <v>74</v>
      </c>
      <c r="C157" t="s">
        <v>604</v>
      </c>
      <c r="D157" s="1">
        <v>45252</v>
      </c>
      <c r="E157">
        <v>4964.71</v>
      </c>
      <c r="F157" t="s">
        <v>316</v>
      </c>
      <c r="G157" t="s">
        <v>376</v>
      </c>
    </row>
    <row r="158" spans="1:7" x14ac:dyDescent="0.3">
      <c r="A158" t="s">
        <v>877</v>
      </c>
      <c r="B158" t="s">
        <v>77</v>
      </c>
      <c r="C158" t="s">
        <v>605</v>
      </c>
      <c r="D158" s="1">
        <v>45058</v>
      </c>
      <c r="E158">
        <v>4331.41</v>
      </c>
      <c r="F158" t="s">
        <v>317</v>
      </c>
      <c r="G158" t="s">
        <v>376</v>
      </c>
    </row>
    <row r="159" spans="1:7" x14ac:dyDescent="0.3">
      <c r="A159" t="s">
        <v>878</v>
      </c>
      <c r="B159" t="s">
        <v>83</v>
      </c>
      <c r="C159" t="s">
        <v>606</v>
      </c>
      <c r="D159" s="1">
        <v>45119</v>
      </c>
      <c r="E159">
        <v>1438.3</v>
      </c>
      <c r="F159" t="s">
        <v>316</v>
      </c>
      <c r="G159" t="s">
        <v>363</v>
      </c>
    </row>
    <row r="160" spans="1:7" x14ac:dyDescent="0.3">
      <c r="A160" t="s">
        <v>879</v>
      </c>
      <c r="B160" t="s">
        <v>27</v>
      </c>
      <c r="C160" t="s">
        <v>607</v>
      </c>
      <c r="D160" s="1">
        <v>45024</v>
      </c>
      <c r="E160">
        <v>4687.68</v>
      </c>
      <c r="F160" t="s">
        <v>316</v>
      </c>
      <c r="G160" t="s">
        <v>352</v>
      </c>
    </row>
    <row r="161" spans="1:7" x14ac:dyDescent="0.3">
      <c r="A161" t="s">
        <v>880</v>
      </c>
      <c r="B161" t="s">
        <v>30</v>
      </c>
      <c r="C161" t="s">
        <v>608</v>
      </c>
      <c r="D161" s="1">
        <v>45277</v>
      </c>
      <c r="E161">
        <v>1023.65</v>
      </c>
      <c r="F161" t="s">
        <v>311</v>
      </c>
      <c r="G161" t="s">
        <v>363</v>
      </c>
    </row>
    <row r="162" spans="1:7" x14ac:dyDescent="0.3">
      <c r="A162" t="s">
        <v>881</v>
      </c>
      <c r="B162" t="s">
        <v>21</v>
      </c>
      <c r="C162" t="s">
        <v>609</v>
      </c>
      <c r="D162" s="1">
        <v>45094</v>
      </c>
      <c r="E162">
        <v>4178.5200000000004</v>
      </c>
      <c r="F162" t="s">
        <v>317</v>
      </c>
      <c r="G162" t="s">
        <v>363</v>
      </c>
    </row>
    <row r="163" spans="1:7" x14ac:dyDescent="0.3">
      <c r="A163" t="s">
        <v>882</v>
      </c>
      <c r="B163" t="s">
        <v>227</v>
      </c>
      <c r="C163" t="s">
        <v>476</v>
      </c>
      <c r="D163" s="1">
        <v>44927</v>
      </c>
      <c r="E163">
        <v>2212.8000000000002</v>
      </c>
      <c r="F163" t="s">
        <v>311</v>
      </c>
      <c r="G163" t="s">
        <v>363</v>
      </c>
    </row>
    <row r="164" spans="1:7" x14ac:dyDescent="0.3">
      <c r="A164" t="s">
        <v>883</v>
      </c>
      <c r="B164" t="s">
        <v>30</v>
      </c>
      <c r="C164" t="s">
        <v>610</v>
      </c>
      <c r="D164" s="1">
        <v>45104</v>
      </c>
      <c r="E164">
        <v>4450.88</v>
      </c>
      <c r="F164" t="s">
        <v>317</v>
      </c>
      <c r="G164" t="s">
        <v>352</v>
      </c>
    </row>
    <row r="165" spans="1:7" x14ac:dyDescent="0.3">
      <c r="A165" t="s">
        <v>884</v>
      </c>
      <c r="B165" t="s">
        <v>54</v>
      </c>
      <c r="C165" t="s">
        <v>611</v>
      </c>
      <c r="D165" s="1">
        <v>45135</v>
      </c>
      <c r="E165">
        <v>4406.26</v>
      </c>
      <c r="F165" t="s">
        <v>316</v>
      </c>
      <c r="G165" t="s">
        <v>376</v>
      </c>
    </row>
    <row r="166" spans="1:7" x14ac:dyDescent="0.3">
      <c r="A166" t="s">
        <v>885</v>
      </c>
      <c r="B166" t="s">
        <v>90</v>
      </c>
      <c r="C166" t="s">
        <v>612</v>
      </c>
      <c r="D166" s="1">
        <v>45020</v>
      </c>
      <c r="E166">
        <v>4126.66</v>
      </c>
      <c r="F166" t="s">
        <v>311</v>
      </c>
      <c r="G166" t="s">
        <v>376</v>
      </c>
    </row>
    <row r="167" spans="1:7" x14ac:dyDescent="0.3">
      <c r="A167" t="s">
        <v>886</v>
      </c>
      <c r="B167" t="s">
        <v>33</v>
      </c>
      <c r="C167" t="s">
        <v>613</v>
      </c>
      <c r="D167" s="1">
        <v>44938</v>
      </c>
      <c r="E167">
        <v>4055.14</v>
      </c>
      <c r="F167" t="s">
        <v>311</v>
      </c>
      <c r="G167" t="s">
        <v>376</v>
      </c>
    </row>
    <row r="168" spans="1:7" x14ac:dyDescent="0.3">
      <c r="A168" t="s">
        <v>887</v>
      </c>
      <c r="B168" t="s">
        <v>118</v>
      </c>
      <c r="C168" t="s">
        <v>614</v>
      </c>
      <c r="D168" s="1">
        <v>45245</v>
      </c>
      <c r="E168">
        <v>1871.06</v>
      </c>
      <c r="F168" t="s">
        <v>316</v>
      </c>
      <c r="G168" t="s">
        <v>352</v>
      </c>
    </row>
    <row r="169" spans="1:7" x14ac:dyDescent="0.3">
      <c r="A169" t="s">
        <v>888</v>
      </c>
      <c r="B169" t="s">
        <v>83</v>
      </c>
      <c r="C169" t="s">
        <v>615</v>
      </c>
      <c r="D169" s="1">
        <v>45198</v>
      </c>
      <c r="E169">
        <v>864.14</v>
      </c>
      <c r="F169" t="s">
        <v>316</v>
      </c>
      <c r="G169" t="s">
        <v>376</v>
      </c>
    </row>
    <row r="170" spans="1:7" x14ac:dyDescent="0.3">
      <c r="A170" t="s">
        <v>889</v>
      </c>
      <c r="B170" t="s">
        <v>38</v>
      </c>
      <c r="C170" t="s">
        <v>616</v>
      </c>
      <c r="D170" s="1">
        <v>45131</v>
      </c>
      <c r="E170">
        <v>2313.41</v>
      </c>
      <c r="F170" t="s">
        <v>316</v>
      </c>
      <c r="G170" t="s">
        <v>352</v>
      </c>
    </row>
    <row r="171" spans="1:7" x14ac:dyDescent="0.3">
      <c r="A171" t="s">
        <v>890</v>
      </c>
      <c r="B171" t="s">
        <v>122</v>
      </c>
      <c r="C171" t="s">
        <v>617</v>
      </c>
      <c r="D171" s="1">
        <v>44988</v>
      </c>
      <c r="E171">
        <v>1280.8599999999999</v>
      </c>
      <c r="F171" t="s">
        <v>311</v>
      </c>
      <c r="G171" t="s">
        <v>376</v>
      </c>
    </row>
    <row r="172" spans="1:7" x14ac:dyDescent="0.3">
      <c r="A172" t="s">
        <v>891</v>
      </c>
      <c r="B172" t="s">
        <v>161</v>
      </c>
      <c r="C172" t="s">
        <v>618</v>
      </c>
      <c r="D172" s="1">
        <v>45034</v>
      </c>
      <c r="E172">
        <v>3627.28</v>
      </c>
      <c r="F172" t="s">
        <v>317</v>
      </c>
      <c r="G172" t="s">
        <v>376</v>
      </c>
    </row>
    <row r="173" spans="1:7" x14ac:dyDescent="0.3">
      <c r="A173" t="s">
        <v>892</v>
      </c>
      <c r="B173" t="s">
        <v>178</v>
      </c>
      <c r="C173" t="s">
        <v>619</v>
      </c>
      <c r="D173" s="1">
        <v>44994</v>
      </c>
      <c r="E173">
        <v>2057.4499999999998</v>
      </c>
      <c r="F173" t="s">
        <v>311</v>
      </c>
      <c r="G173" t="s">
        <v>363</v>
      </c>
    </row>
    <row r="174" spans="1:7" x14ac:dyDescent="0.3">
      <c r="A174" t="s">
        <v>893</v>
      </c>
      <c r="B174" t="s">
        <v>59</v>
      </c>
      <c r="C174" t="s">
        <v>620</v>
      </c>
      <c r="D174" s="1">
        <v>45081</v>
      </c>
      <c r="E174">
        <v>4890.25</v>
      </c>
      <c r="F174" t="s">
        <v>317</v>
      </c>
      <c r="G174" t="s">
        <v>352</v>
      </c>
    </row>
    <row r="175" spans="1:7" x14ac:dyDescent="0.3">
      <c r="A175" t="s">
        <v>894</v>
      </c>
      <c r="B175" t="s">
        <v>43</v>
      </c>
      <c r="C175" t="s">
        <v>621</v>
      </c>
      <c r="D175" s="1">
        <v>45230</v>
      </c>
      <c r="E175">
        <v>3384.37</v>
      </c>
      <c r="F175" t="s">
        <v>311</v>
      </c>
      <c r="G175" t="s">
        <v>363</v>
      </c>
    </row>
    <row r="176" spans="1:7" x14ac:dyDescent="0.3">
      <c r="A176" t="s">
        <v>895</v>
      </c>
      <c r="B176" t="s">
        <v>170</v>
      </c>
      <c r="C176" t="s">
        <v>622</v>
      </c>
      <c r="D176" s="1">
        <v>45221</v>
      </c>
      <c r="E176">
        <v>4201.16</v>
      </c>
      <c r="F176" t="s">
        <v>311</v>
      </c>
      <c r="G176" t="s">
        <v>363</v>
      </c>
    </row>
    <row r="177" spans="1:7" x14ac:dyDescent="0.3">
      <c r="A177" t="s">
        <v>896</v>
      </c>
      <c r="B177" t="s">
        <v>85</v>
      </c>
      <c r="C177" t="s">
        <v>623</v>
      </c>
      <c r="D177" s="1">
        <v>45042</v>
      </c>
      <c r="E177">
        <v>1096.3599999999999</v>
      </c>
      <c r="F177" t="s">
        <v>316</v>
      </c>
      <c r="G177" t="s">
        <v>363</v>
      </c>
    </row>
    <row r="178" spans="1:7" x14ac:dyDescent="0.3">
      <c r="A178" t="s">
        <v>897</v>
      </c>
      <c r="B178" t="s">
        <v>132</v>
      </c>
      <c r="C178" t="s">
        <v>624</v>
      </c>
      <c r="D178" s="1">
        <v>45154</v>
      </c>
      <c r="E178">
        <v>4379.07</v>
      </c>
      <c r="F178" t="s">
        <v>317</v>
      </c>
      <c r="G178" t="s">
        <v>352</v>
      </c>
    </row>
    <row r="179" spans="1:7" x14ac:dyDescent="0.3">
      <c r="A179" t="s">
        <v>898</v>
      </c>
      <c r="B179" t="s">
        <v>144</v>
      </c>
      <c r="C179" t="s">
        <v>625</v>
      </c>
      <c r="D179" s="1">
        <v>44943</v>
      </c>
      <c r="E179">
        <v>4652.41</v>
      </c>
      <c r="F179" t="s">
        <v>311</v>
      </c>
      <c r="G179" t="s">
        <v>352</v>
      </c>
    </row>
    <row r="180" spans="1:7" x14ac:dyDescent="0.3">
      <c r="A180" t="s">
        <v>899</v>
      </c>
      <c r="B180" t="s">
        <v>245</v>
      </c>
      <c r="C180" t="s">
        <v>478</v>
      </c>
      <c r="D180" s="1">
        <v>44993</v>
      </c>
      <c r="E180">
        <v>2691.78</v>
      </c>
      <c r="F180" t="s">
        <v>311</v>
      </c>
      <c r="G180" t="s">
        <v>376</v>
      </c>
    </row>
    <row r="181" spans="1:7" x14ac:dyDescent="0.3">
      <c r="A181" t="s">
        <v>900</v>
      </c>
      <c r="B181" t="s">
        <v>156</v>
      </c>
      <c r="C181" t="s">
        <v>626</v>
      </c>
      <c r="D181" s="1">
        <v>44933</v>
      </c>
      <c r="E181">
        <v>3228.14</v>
      </c>
      <c r="F181" t="s">
        <v>316</v>
      </c>
      <c r="G181" t="s">
        <v>363</v>
      </c>
    </row>
    <row r="182" spans="1:7" x14ac:dyDescent="0.3">
      <c r="A182" t="s">
        <v>901</v>
      </c>
      <c r="B182" t="s">
        <v>65</v>
      </c>
      <c r="C182" t="s">
        <v>627</v>
      </c>
      <c r="D182" s="1">
        <v>45172</v>
      </c>
      <c r="E182">
        <v>3941.64</v>
      </c>
      <c r="F182" t="s">
        <v>316</v>
      </c>
      <c r="G182" t="s">
        <v>376</v>
      </c>
    </row>
    <row r="183" spans="1:7" x14ac:dyDescent="0.3">
      <c r="A183" t="s">
        <v>902</v>
      </c>
      <c r="B183" t="s">
        <v>135</v>
      </c>
      <c r="C183" t="s">
        <v>628</v>
      </c>
      <c r="D183" s="1">
        <v>45028</v>
      </c>
      <c r="E183">
        <v>1286.77</v>
      </c>
      <c r="F183" t="s">
        <v>317</v>
      </c>
      <c r="G183" t="s">
        <v>363</v>
      </c>
    </row>
    <row r="184" spans="1:7" x14ac:dyDescent="0.3">
      <c r="A184" t="s">
        <v>903</v>
      </c>
      <c r="B184" t="s">
        <v>17</v>
      </c>
      <c r="C184" t="s">
        <v>629</v>
      </c>
      <c r="D184" s="1">
        <v>44960</v>
      </c>
      <c r="E184">
        <v>2761.55</v>
      </c>
      <c r="F184" t="s">
        <v>311</v>
      </c>
      <c r="G184" t="s">
        <v>352</v>
      </c>
    </row>
    <row r="185" spans="1:7" x14ac:dyDescent="0.3">
      <c r="A185" t="s">
        <v>904</v>
      </c>
      <c r="B185" t="s">
        <v>227</v>
      </c>
      <c r="C185" t="s">
        <v>630</v>
      </c>
      <c r="D185" s="1">
        <v>44983</v>
      </c>
      <c r="E185">
        <v>2293.98</v>
      </c>
      <c r="F185" t="s">
        <v>317</v>
      </c>
      <c r="G185" t="s">
        <v>352</v>
      </c>
    </row>
    <row r="186" spans="1:7" x14ac:dyDescent="0.3">
      <c r="A186" t="s">
        <v>905</v>
      </c>
      <c r="B186" t="s">
        <v>170</v>
      </c>
      <c r="C186" t="s">
        <v>631</v>
      </c>
      <c r="D186" s="1">
        <v>45006</v>
      </c>
      <c r="E186">
        <v>1158.68</v>
      </c>
      <c r="F186" t="s">
        <v>311</v>
      </c>
      <c r="G186" t="s">
        <v>352</v>
      </c>
    </row>
    <row r="187" spans="1:7" x14ac:dyDescent="0.3">
      <c r="A187" t="s">
        <v>906</v>
      </c>
      <c r="B187" t="s">
        <v>116</v>
      </c>
      <c r="C187" t="s">
        <v>632</v>
      </c>
      <c r="D187" s="1">
        <v>45012</v>
      </c>
      <c r="E187">
        <v>2153.9</v>
      </c>
      <c r="F187" t="s">
        <v>317</v>
      </c>
      <c r="G187" t="s">
        <v>363</v>
      </c>
    </row>
    <row r="188" spans="1:7" x14ac:dyDescent="0.3">
      <c r="A188" t="s">
        <v>907</v>
      </c>
      <c r="B188" t="s">
        <v>110</v>
      </c>
      <c r="C188" t="s">
        <v>633</v>
      </c>
      <c r="D188" s="1">
        <v>44970</v>
      </c>
      <c r="E188">
        <v>806.78</v>
      </c>
      <c r="F188" t="s">
        <v>316</v>
      </c>
      <c r="G188" t="s">
        <v>352</v>
      </c>
    </row>
    <row r="189" spans="1:7" x14ac:dyDescent="0.3">
      <c r="A189" t="s">
        <v>908</v>
      </c>
      <c r="B189" t="s">
        <v>105</v>
      </c>
      <c r="C189" t="s">
        <v>634</v>
      </c>
      <c r="D189" s="1">
        <v>45028</v>
      </c>
      <c r="E189">
        <v>616.15</v>
      </c>
      <c r="F189" t="s">
        <v>311</v>
      </c>
      <c r="G189" t="s">
        <v>363</v>
      </c>
    </row>
    <row r="190" spans="1:7" x14ac:dyDescent="0.3">
      <c r="A190" t="s">
        <v>909</v>
      </c>
      <c r="B190" t="s">
        <v>33</v>
      </c>
      <c r="C190" t="s">
        <v>635</v>
      </c>
      <c r="D190" s="1">
        <v>45204</v>
      </c>
      <c r="E190">
        <v>1108.25</v>
      </c>
      <c r="F190" t="s">
        <v>317</v>
      </c>
      <c r="G190" t="s">
        <v>376</v>
      </c>
    </row>
    <row r="191" spans="1:7" x14ac:dyDescent="0.3">
      <c r="A191" t="s">
        <v>910</v>
      </c>
      <c r="B191" t="s">
        <v>38</v>
      </c>
      <c r="C191" t="s">
        <v>636</v>
      </c>
      <c r="D191" s="1">
        <v>45246</v>
      </c>
      <c r="E191">
        <v>4834.0200000000004</v>
      </c>
      <c r="F191" t="s">
        <v>316</v>
      </c>
      <c r="G191" t="s">
        <v>363</v>
      </c>
    </row>
    <row r="192" spans="1:7" x14ac:dyDescent="0.3">
      <c r="A192" t="s">
        <v>911</v>
      </c>
      <c r="B192" t="s">
        <v>49</v>
      </c>
      <c r="C192" t="s">
        <v>637</v>
      </c>
      <c r="D192" s="1">
        <v>45028</v>
      </c>
      <c r="E192">
        <v>2972.88</v>
      </c>
      <c r="F192" t="s">
        <v>316</v>
      </c>
      <c r="G192" t="s">
        <v>376</v>
      </c>
    </row>
    <row r="193" spans="1:7" x14ac:dyDescent="0.3">
      <c r="A193" t="s">
        <v>912</v>
      </c>
      <c r="B193" t="s">
        <v>245</v>
      </c>
      <c r="C193" t="s">
        <v>638</v>
      </c>
      <c r="D193" s="1">
        <v>45169</v>
      </c>
      <c r="E193">
        <v>4846.2</v>
      </c>
      <c r="F193" t="s">
        <v>317</v>
      </c>
      <c r="G193" t="s">
        <v>363</v>
      </c>
    </row>
    <row r="194" spans="1:7" x14ac:dyDescent="0.3">
      <c r="A194" t="s">
        <v>913</v>
      </c>
      <c r="B194" t="s">
        <v>93</v>
      </c>
      <c r="C194" t="s">
        <v>639</v>
      </c>
      <c r="D194" s="1">
        <v>45184</v>
      </c>
      <c r="E194">
        <v>2446.2399999999998</v>
      </c>
      <c r="F194" t="s">
        <v>311</v>
      </c>
      <c r="G194" t="s">
        <v>376</v>
      </c>
    </row>
    <row r="195" spans="1:7" x14ac:dyDescent="0.3">
      <c r="A195" t="s">
        <v>914</v>
      </c>
      <c r="B195" t="s">
        <v>147</v>
      </c>
      <c r="C195" t="s">
        <v>640</v>
      </c>
      <c r="D195" s="1">
        <v>45022</v>
      </c>
      <c r="E195">
        <v>1903.17</v>
      </c>
      <c r="F195" t="s">
        <v>311</v>
      </c>
      <c r="G195" t="s">
        <v>352</v>
      </c>
    </row>
    <row r="196" spans="1:7" x14ac:dyDescent="0.3">
      <c r="A196" t="s">
        <v>915</v>
      </c>
      <c r="B196" t="s">
        <v>10</v>
      </c>
      <c r="C196" t="s">
        <v>641</v>
      </c>
      <c r="D196" s="1">
        <v>45157</v>
      </c>
      <c r="E196">
        <v>2777.64</v>
      </c>
      <c r="F196" t="s">
        <v>316</v>
      </c>
      <c r="G196" t="s">
        <v>376</v>
      </c>
    </row>
    <row r="197" spans="1:7" x14ac:dyDescent="0.3">
      <c r="A197" t="s">
        <v>916</v>
      </c>
      <c r="B197" t="s">
        <v>21</v>
      </c>
      <c r="C197" t="s">
        <v>642</v>
      </c>
      <c r="D197" s="1">
        <v>45225</v>
      </c>
      <c r="E197">
        <v>2477.8000000000002</v>
      </c>
      <c r="F197" t="s">
        <v>311</v>
      </c>
      <c r="G197" t="s">
        <v>352</v>
      </c>
    </row>
    <row r="198" spans="1:7" x14ac:dyDescent="0.3">
      <c r="A198" t="s">
        <v>917</v>
      </c>
      <c r="B198" t="s">
        <v>24</v>
      </c>
      <c r="C198" t="s">
        <v>643</v>
      </c>
      <c r="D198" s="1">
        <v>45017</v>
      </c>
      <c r="E198">
        <v>975.49</v>
      </c>
      <c r="F198" t="s">
        <v>311</v>
      </c>
      <c r="G198" t="s">
        <v>352</v>
      </c>
    </row>
    <row r="199" spans="1:7" x14ac:dyDescent="0.3">
      <c r="A199" t="s">
        <v>918</v>
      </c>
      <c r="B199" t="s">
        <v>36</v>
      </c>
      <c r="C199" t="s">
        <v>644</v>
      </c>
      <c r="D199" s="1">
        <v>45061</v>
      </c>
      <c r="E199">
        <v>3383.72</v>
      </c>
      <c r="F199" t="s">
        <v>311</v>
      </c>
      <c r="G199" t="s">
        <v>376</v>
      </c>
    </row>
    <row r="200" spans="1:7" x14ac:dyDescent="0.3">
      <c r="A200" t="s">
        <v>919</v>
      </c>
      <c r="B200" t="s">
        <v>144</v>
      </c>
      <c r="C200" t="s">
        <v>645</v>
      </c>
      <c r="D200" s="1">
        <v>45047</v>
      </c>
      <c r="E200">
        <v>1472.17</v>
      </c>
      <c r="F200" t="s">
        <v>316</v>
      </c>
      <c r="G200" t="s">
        <v>363</v>
      </c>
    </row>
    <row r="201" spans="1:7" x14ac:dyDescent="0.3">
      <c r="A201" t="s">
        <v>920</v>
      </c>
      <c r="B201" t="s">
        <v>156</v>
      </c>
      <c r="C201" t="s">
        <v>646</v>
      </c>
      <c r="D201" s="1">
        <v>45290</v>
      </c>
      <c r="E201">
        <v>3288.15</v>
      </c>
      <c r="F201" t="s">
        <v>317</v>
      </c>
      <c r="G201" t="s">
        <v>363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5CAA-ED63-4D6C-A3C7-F0D364B92D97}">
  <dimension ref="A1:AE201"/>
  <sheetViews>
    <sheetView topLeftCell="W2" workbookViewId="0">
      <selection activeCell="F12" sqref="F12"/>
    </sheetView>
  </sheetViews>
  <sheetFormatPr defaultRowHeight="14.4" x14ac:dyDescent="0.3"/>
  <cols>
    <col min="1" max="1" width="16.77734375" customWidth="1"/>
    <col min="2" max="2" width="11.5546875" customWidth="1"/>
    <col min="3" max="3" width="11.21875" customWidth="1"/>
    <col min="4" max="4" width="19" customWidth="1"/>
    <col min="5" max="5" width="19.21875" customWidth="1"/>
    <col min="6" max="6" width="17.21875" customWidth="1"/>
    <col min="8" max="8" width="16.77734375" customWidth="1"/>
    <col min="9" max="9" width="17.21875" bestFit="1" customWidth="1"/>
    <col min="10" max="10" width="9.44140625" style="3" bestFit="1" customWidth="1"/>
    <col min="11" max="11" width="16.5546875" style="1" customWidth="1"/>
    <col min="12" max="12" width="12.33203125" customWidth="1"/>
    <col min="13" max="13" width="12.21875" customWidth="1"/>
    <col min="14" max="14" width="9" customWidth="1"/>
    <col min="15" max="15" width="14.77734375" style="1" customWidth="1"/>
    <col min="16" max="16" width="17.33203125" customWidth="1"/>
    <col min="17" max="17" width="15.109375" customWidth="1"/>
    <col min="18" max="18" width="17.77734375" customWidth="1"/>
    <col min="19" max="19" width="19.21875" customWidth="1"/>
    <col min="20" max="20" width="19" customWidth="1"/>
    <col min="21" max="21" width="13.33203125" customWidth="1"/>
    <col min="22" max="22" width="13.21875" customWidth="1"/>
    <col min="23" max="23" width="14.33203125" customWidth="1"/>
    <col min="24" max="24" width="16.21875" customWidth="1"/>
    <col min="25" max="25" width="17.44140625" customWidth="1"/>
    <col min="26" max="26" width="16.5546875" customWidth="1"/>
    <col min="27" max="27" width="14.33203125" customWidth="1"/>
    <col min="28" max="28" width="10.33203125" style="1" bestFit="1" customWidth="1"/>
    <col min="29" max="29" width="9.77734375" style="3" customWidth="1"/>
    <col min="30" max="30" width="18.21875" customWidth="1"/>
    <col min="31" max="31" width="16.6640625" customWidth="1"/>
  </cols>
  <sheetData>
    <row r="1" spans="1:31" x14ac:dyDescent="0.3">
      <c r="A1" t="s">
        <v>267</v>
      </c>
      <c r="B1" t="s">
        <v>268</v>
      </c>
      <c r="C1" t="s">
        <v>269</v>
      </c>
      <c r="D1" t="s">
        <v>270</v>
      </c>
      <c r="E1" t="s">
        <v>271</v>
      </c>
      <c r="F1" t="s">
        <v>272</v>
      </c>
      <c r="G1" t="s">
        <v>273</v>
      </c>
      <c r="H1" t="s">
        <v>274</v>
      </c>
      <c r="I1" t="s">
        <v>275</v>
      </c>
      <c r="J1" s="3" t="s">
        <v>276</v>
      </c>
      <c r="K1" s="1" t="s">
        <v>277</v>
      </c>
      <c r="L1" t="s">
        <v>278</v>
      </c>
      <c r="M1" t="s">
        <v>279</v>
      </c>
      <c r="N1" t="s">
        <v>280</v>
      </c>
      <c r="O1" s="1" t="s">
        <v>281</v>
      </c>
      <c r="P1" t="s">
        <v>282</v>
      </c>
      <c r="Q1" t="s">
        <v>283</v>
      </c>
      <c r="R1" t="s">
        <v>284</v>
      </c>
      <c r="S1" t="s">
        <v>285</v>
      </c>
      <c r="T1" t="s">
        <v>286</v>
      </c>
      <c r="U1" t="s">
        <v>479</v>
      </c>
      <c r="V1" t="s">
        <v>480</v>
      </c>
      <c r="W1" t="s">
        <v>287</v>
      </c>
      <c r="X1" t="s">
        <v>288</v>
      </c>
      <c r="Y1" t="s">
        <v>289</v>
      </c>
      <c r="Z1" t="s">
        <v>290</v>
      </c>
      <c r="AA1" t="s">
        <v>291</v>
      </c>
      <c r="AB1" s="1" t="s">
        <v>292</v>
      </c>
      <c r="AC1" s="3" t="s">
        <v>293</v>
      </c>
      <c r="AD1" t="s">
        <v>294</v>
      </c>
      <c r="AE1" t="s">
        <v>295</v>
      </c>
    </row>
    <row r="2" spans="1:31" x14ac:dyDescent="0.3">
      <c r="A2" t="s">
        <v>0</v>
      </c>
      <c r="B2" t="s">
        <v>1</v>
      </c>
      <c r="C2" t="s">
        <v>2</v>
      </c>
      <c r="D2" s="1">
        <v>45147</v>
      </c>
      <c r="E2" s="2">
        <v>0.63541666666666663</v>
      </c>
      <c r="F2" t="s">
        <v>3</v>
      </c>
      <c r="G2" t="s">
        <v>4</v>
      </c>
      <c r="H2" t="s">
        <v>342</v>
      </c>
      <c r="I2" t="s">
        <v>343</v>
      </c>
      <c r="J2" s="3">
        <v>3941.97</v>
      </c>
      <c r="K2" s="1">
        <v>45147</v>
      </c>
      <c r="L2" t="s">
        <v>344</v>
      </c>
      <c r="M2" t="s">
        <v>345</v>
      </c>
      <c r="N2" t="s">
        <v>346</v>
      </c>
      <c r="O2" s="1">
        <v>18289</v>
      </c>
      <c r="P2">
        <v>8374657733</v>
      </c>
      <c r="Q2" t="s">
        <v>347</v>
      </c>
      <c r="R2">
        <v>45095</v>
      </c>
      <c r="S2" t="s">
        <v>348</v>
      </c>
      <c r="T2" t="s">
        <v>349</v>
      </c>
      <c r="U2" t="s">
        <v>350</v>
      </c>
      <c r="V2" t="s">
        <v>345</v>
      </c>
      <c r="W2" t="s">
        <v>310</v>
      </c>
      <c r="X2">
        <v>7387087517</v>
      </c>
      <c r="Y2">
        <v>26</v>
      </c>
      <c r="Z2" t="s">
        <v>297</v>
      </c>
      <c r="AA2" t="s">
        <v>351</v>
      </c>
      <c r="AB2" s="1">
        <v>45147</v>
      </c>
      <c r="AC2" s="3">
        <v>3941.97</v>
      </c>
      <c r="AD2" t="s">
        <v>317</v>
      </c>
      <c r="AE2" t="s">
        <v>352</v>
      </c>
    </row>
    <row r="3" spans="1:31" x14ac:dyDescent="0.3">
      <c r="A3" t="s">
        <v>5</v>
      </c>
      <c r="B3" t="s">
        <v>6</v>
      </c>
      <c r="C3" t="s">
        <v>7</v>
      </c>
      <c r="D3" s="1">
        <v>45086</v>
      </c>
      <c r="E3" s="2">
        <v>0.60416666666666663</v>
      </c>
      <c r="F3" t="s">
        <v>3</v>
      </c>
      <c r="G3" t="s">
        <v>8</v>
      </c>
      <c r="H3" t="s">
        <v>353</v>
      </c>
      <c r="I3" t="s">
        <v>354</v>
      </c>
      <c r="J3" s="3">
        <v>4158.4399999999996</v>
      </c>
      <c r="K3" s="1">
        <v>45086</v>
      </c>
      <c r="L3" t="s">
        <v>344</v>
      </c>
      <c r="M3" t="s">
        <v>355</v>
      </c>
      <c r="N3" t="s">
        <v>356</v>
      </c>
      <c r="O3" s="1">
        <v>29594</v>
      </c>
      <c r="P3">
        <v>8102183595</v>
      </c>
      <c r="Q3" t="s">
        <v>357</v>
      </c>
      <c r="R3">
        <v>44471</v>
      </c>
      <c r="S3" t="s">
        <v>358</v>
      </c>
      <c r="T3" t="s">
        <v>359</v>
      </c>
      <c r="U3" t="s">
        <v>360</v>
      </c>
      <c r="V3" t="s">
        <v>361</v>
      </c>
      <c r="W3" t="s">
        <v>310</v>
      </c>
      <c r="X3">
        <v>6594221991</v>
      </c>
      <c r="Y3">
        <v>28</v>
      </c>
      <c r="Z3" t="s">
        <v>297</v>
      </c>
      <c r="AA3" t="s">
        <v>362</v>
      </c>
      <c r="AB3" s="1">
        <v>45086</v>
      </c>
      <c r="AC3" s="3">
        <v>4158.4399999999996</v>
      </c>
      <c r="AD3" t="s">
        <v>317</v>
      </c>
      <c r="AE3" t="s">
        <v>363</v>
      </c>
    </row>
    <row r="4" spans="1:31" x14ac:dyDescent="0.3">
      <c r="A4" t="s">
        <v>9</v>
      </c>
      <c r="B4" t="s">
        <v>10</v>
      </c>
      <c r="C4" t="s">
        <v>7</v>
      </c>
      <c r="D4" s="1">
        <v>45105</v>
      </c>
      <c r="E4" s="2">
        <v>0.33333333333333331</v>
      </c>
      <c r="F4" t="s">
        <v>11</v>
      </c>
      <c r="G4" t="s">
        <v>12</v>
      </c>
      <c r="H4" t="s">
        <v>353</v>
      </c>
      <c r="I4" t="s">
        <v>364</v>
      </c>
      <c r="J4" s="3">
        <v>3731.55</v>
      </c>
      <c r="K4" s="1">
        <v>45105</v>
      </c>
      <c r="L4" t="s">
        <v>365</v>
      </c>
      <c r="M4" t="s">
        <v>366</v>
      </c>
      <c r="N4" t="s">
        <v>356</v>
      </c>
      <c r="O4" s="1">
        <v>30399</v>
      </c>
      <c r="P4">
        <v>8720989381</v>
      </c>
      <c r="Q4" t="s">
        <v>357</v>
      </c>
      <c r="R4">
        <v>45096</v>
      </c>
      <c r="S4" t="s">
        <v>367</v>
      </c>
      <c r="T4" t="s">
        <v>368</v>
      </c>
      <c r="U4" t="s">
        <v>360</v>
      </c>
      <c r="V4" t="s">
        <v>361</v>
      </c>
      <c r="W4" t="s">
        <v>310</v>
      </c>
      <c r="X4">
        <v>6594221991</v>
      </c>
      <c r="Y4">
        <v>28</v>
      </c>
      <c r="Z4" t="s">
        <v>297</v>
      </c>
      <c r="AA4" t="s">
        <v>369</v>
      </c>
      <c r="AB4" s="1">
        <v>45105</v>
      </c>
      <c r="AC4" s="3">
        <v>3731.55</v>
      </c>
      <c r="AD4" t="s">
        <v>317</v>
      </c>
      <c r="AE4" t="s">
        <v>363</v>
      </c>
    </row>
    <row r="5" spans="1:31" x14ac:dyDescent="0.3">
      <c r="A5" t="s">
        <v>13</v>
      </c>
      <c r="B5" t="s">
        <v>14</v>
      </c>
      <c r="C5" t="s">
        <v>15</v>
      </c>
      <c r="D5" s="1">
        <v>45170</v>
      </c>
      <c r="E5" s="2">
        <v>0.38541666666666669</v>
      </c>
      <c r="F5" t="s">
        <v>11</v>
      </c>
      <c r="G5" t="s">
        <v>12</v>
      </c>
      <c r="H5" t="s">
        <v>353</v>
      </c>
      <c r="I5" t="s">
        <v>343</v>
      </c>
      <c r="J5" s="3">
        <v>4799.8599999999997</v>
      </c>
      <c r="K5" s="1">
        <v>45170</v>
      </c>
      <c r="L5" t="s">
        <v>370</v>
      </c>
      <c r="M5" t="s">
        <v>371</v>
      </c>
      <c r="N5" t="s">
        <v>356</v>
      </c>
      <c r="O5" s="1">
        <v>24333</v>
      </c>
      <c r="P5">
        <v>7482069727</v>
      </c>
      <c r="Q5" t="s">
        <v>357</v>
      </c>
      <c r="R5">
        <v>44448</v>
      </c>
      <c r="S5" t="s">
        <v>372</v>
      </c>
      <c r="T5" t="s">
        <v>373</v>
      </c>
      <c r="U5" t="s">
        <v>344</v>
      </c>
      <c r="V5" t="s">
        <v>374</v>
      </c>
      <c r="W5" t="s">
        <v>310</v>
      </c>
      <c r="X5">
        <v>6570137231</v>
      </c>
      <c r="Y5">
        <v>23</v>
      </c>
      <c r="Z5" t="s">
        <v>297</v>
      </c>
      <c r="AA5" t="s">
        <v>375</v>
      </c>
      <c r="AB5" s="1">
        <v>45170</v>
      </c>
      <c r="AC5" s="3">
        <v>4799.8599999999997</v>
      </c>
      <c r="AD5" t="s">
        <v>317</v>
      </c>
      <c r="AE5" t="s">
        <v>376</v>
      </c>
    </row>
    <row r="6" spans="1:31" x14ac:dyDescent="0.3">
      <c r="A6" t="s">
        <v>16</v>
      </c>
      <c r="B6" t="s">
        <v>17</v>
      </c>
      <c r="C6" t="s">
        <v>18</v>
      </c>
      <c r="D6" s="1">
        <v>45113</v>
      </c>
      <c r="E6" s="2">
        <v>0.53125</v>
      </c>
      <c r="F6" t="s">
        <v>19</v>
      </c>
      <c r="G6" t="s">
        <v>8</v>
      </c>
      <c r="H6" t="s">
        <v>377</v>
      </c>
      <c r="I6" t="s">
        <v>364</v>
      </c>
      <c r="J6" s="3">
        <v>582.04999999999995</v>
      </c>
      <c r="K6" s="1">
        <v>45113</v>
      </c>
      <c r="L6" t="s">
        <v>365</v>
      </c>
      <c r="M6" t="s">
        <v>378</v>
      </c>
      <c r="N6" t="s">
        <v>356</v>
      </c>
      <c r="O6" s="1">
        <v>26449</v>
      </c>
      <c r="P6">
        <v>7587653815</v>
      </c>
      <c r="Q6" t="s">
        <v>379</v>
      </c>
      <c r="R6">
        <v>44485</v>
      </c>
      <c r="S6" t="s">
        <v>367</v>
      </c>
      <c r="T6" t="s">
        <v>380</v>
      </c>
      <c r="U6" t="s">
        <v>381</v>
      </c>
      <c r="V6" t="s">
        <v>345</v>
      </c>
      <c r="W6" t="s">
        <v>310</v>
      </c>
      <c r="X6">
        <v>8737740598</v>
      </c>
      <c r="Y6">
        <v>19</v>
      </c>
      <c r="Z6" t="s">
        <v>298</v>
      </c>
      <c r="AA6" t="s">
        <v>382</v>
      </c>
      <c r="AB6" s="1">
        <v>45113</v>
      </c>
      <c r="AC6" s="3">
        <v>582.04999999999995</v>
      </c>
      <c r="AD6" t="s">
        <v>316</v>
      </c>
      <c r="AE6" t="s">
        <v>352</v>
      </c>
    </row>
    <row r="7" spans="1:31" x14ac:dyDescent="0.3">
      <c r="A7" t="s">
        <v>20</v>
      </c>
      <c r="B7" t="s">
        <v>21</v>
      </c>
      <c r="C7" t="s">
        <v>15</v>
      </c>
      <c r="D7" s="1">
        <v>45096</v>
      </c>
      <c r="E7" s="2">
        <v>0.67708333333333337</v>
      </c>
      <c r="F7" t="s">
        <v>22</v>
      </c>
      <c r="G7" t="s">
        <v>4</v>
      </c>
      <c r="H7" t="s">
        <v>342</v>
      </c>
      <c r="I7" t="s">
        <v>364</v>
      </c>
      <c r="J7" s="3">
        <v>1381</v>
      </c>
      <c r="K7" s="1">
        <v>45096</v>
      </c>
      <c r="L7" t="s">
        <v>383</v>
      </c>
      <c r="M7" t="s">
        <v>366</v>
      </c>
      <c r="N7" t="s">
        <v>346</v>
      </c>
      <c r="O7" s="1">
        <v>24222</v>
      </c>
      <c r="P7">
        <v>7579616535</v>
      </c>
      <c r="Q7" t="s">
        <v>347</v>
      </c>
      <c r="R7">
        <v>44219</v>
      </c>
      <c r="S7" t="s">
        <v>358</v>
      </c>
      <c r="T7" t="s">
        <v>384</v>
      </c>
      <c r="U7" t="s">
        <v>344</v>
      </c>
      <c r="V7" t="s">
        <v>374</v>
      </c>
      <c r="W7" t="s">
        <v>310</v>
      </c>
      <c r="X7">
        <v>6570137231</v>
      </c>
      <c r="Y7">
        <v>23</v>
      </c>
      <c r="Z7" t="s">
        <v>297</v>
      </c>
      <c r="AA7" t="s">
        <v>385</v>
      </c>
      <c r="AB7" s="1">
        <v>45096</v>
      </c>
      <c r="AC7" s="3">
        <v>1381</v>
      </c>
      <c r="AD7" t="s">
        <v>317</v>
      </c>
      <c r="AE7" t="s">
        <v>352</v>
      </c>
    </row>
    <row r="8" spans="1:31" x14ac:dyDescent="0.3">
      <c r="A8" t="s">
        <v>23</v>
      </c>
      <c r="B8" t="s">
        <v>24</v>
      </c>
      <c r="C8" t="s">
        <v>25</v>
      </c>
      <c r="D8" s="1">
        <v>45025</v>
      </c>
      <c r="E8" s="2">
        <v>0.4375</v>
      </c>
      <c r="F8" t="s">
        <v>11</v>
      </c>
      <c r="G8" t="s">
        <v>4</v>
      </c>
      <c r="H8" t="s">
        <v>342</v>
      </c>
      <c r="I8" t="s">
        <v>354</v>
      </c>
      <c r="J8" s="3">
        <v>534.03</v>
      </c>
      <c r="K8" s="1">
        <v>45025</v>
      </c>
      <c r="L8" t="s">
        <v>360</v>
      </c>
      <c r="M8" t="s">
        <v>378</v>
      </c>
      <c r="N8" t="s">
        <v>346</v>
      </c>
      <c r="O8" s="1">
        <v>20244</v>
      </c>
      <c r="P8">
        <v>6939585183</v>
      </c>
      <c r="Q8" t="s">
        <v>386</v>
      </c>
      <c r="R8">
        <v>44735</v>
      </c>
      <c r="S8" t="s">
        <v>348</v>
      </c>
      <c r="T8" t="s">
        <v>387</v>
      </c>
      <c r="U8" t="s">
        <v>370</v>
      </c>
      <c r="V8" t="s">
        <v>374</v>
      </c>
      <c r="W8" t="s">
        <v>309</v>
      </c>
      <c r="X8">
        <v>8217493115</v>
      </c>
      <c r="Y8">
        <v>26</v>
      </c>
      <c r="Z8" t="s">
        <v>299</v>
      </c>
      <c r="AA8" t="s">
        <v>388</v>
      </c>
      <c r="AB8" s="1">
        <v>45025</v>
      </c>
      <c r="AC8" s="3">
        <v>534.03</v>
      </c>
      <c r="AD8" t="s">
        <v>311</v>
      </c>
      <c r="AE8" t="s">
        <v>376</v>
      </c>
    </row>
    <row r="9" spans="1:31" x14ac:dyDescent="0.3">
      <c r="A9" t="s">
        <v>26</v>
      </c>
      <c r="B9" t="s">
        <v>27</v>
      </c>
      <c r="C9" t="s">
        <v>28</v>
      </c>
      <c r="D9" s="1">
        <v>45070</v>
      </c>
      <c r="E9" s="2">
        <v>0.36458333333333331</v>
      </c>
      <c r="F9" t="s">
        <v>11</v>
      </c>
      <c r="G9" t="s">
        <v>12</v>
      </c>
      <c r="H9" t="s">
        <v>389</v>
      </c>
      <c r="I9" t="s">
        <v>343</v>
      </c>
      <c r="J9" s="3">
        <v>3413.64</v>
      </c>
      <c r="K9" s="1">
        <v>45070</v>
      </c>
      <c r="L9" t="s">
        <v>390</v>
      </c>
      <c r="M9" t="s">
        <v>391</v>
      </c>
      <c r="N9" t="s">
        <v>356</v>
      </c>
      <c r="O9" s="1">
        <v>36729</v>
      </c>
      <c r="P9">
        <v>7223380592</v>
      </c>
      <c r="Q9" t="s">
        <v>386</v>
      </c>
      <c r="R9">
        <v>44400</v>
      </c>
      <c r="S9" t="s">
        <v>367</v>
      </c>
      <c r="T9" t="s">
        <v>392</v>
      </c>
      <c r="U9" t="s">
        <v>383</v>
      </c>
      <c r="V9" t="s">
        <v>371</v>
      </c>
      <c r="W9" t="s">
        <v>309</v>
      </c>
      <c r="X9">
        <v>6176383634</v>
      </c>
      <c r="Y9">
        <v>21</v>
      </c>
      <c r="Z9" t="s">
        <v>298</v>
      </c>
      <c r="AA9" t="s">
        <v>393</v>
      </c>
      <c r="AB9" s="1">
        <v>45070</v>
      </c>
      <c r="AC9" s="3">
        <v>3413.64</v>
      </c>
      <c r="AD9" t="s">
        <v>311</v>
      </c>
      <c r="AE9" t="s">
        <v>376</v>
      </c>
    </row>
    <row r="10" spans="1:31" x14ac:dyDescent="0.3">
      <c r="A10" t="s">
        <v>29</v>
      </c>
      <c r="B10" t="s">
        <v>30</v>
      </c>
      <c r="C10" t="s">
        <v>28</v>
      </c>
      <c r="D10" s="1">
        <v>44990</v>
      </c>
      <c r="E10" s="2">
        <v>0.57291666666666663</v>
      </c>
      <c r="F10" t="s">
        <v>31</v>
      </c>
      <c r="G10" t="s">
        <v>4</v>
      </c>
      <c r="H10" t="s">
        <v>389</v>
      </c>
      <c r="I10" t="s">
        <v>364</v>
      </c>
      <c r="J10" s="3">
        <v>4541.1400000000003</v>
      </c>
      <c r="K10" s="1">
        <v>44990</v>
      </c>
      <c r="L10" t="s">
        <v>381</v>
      </c>
      <c r="M10" t="s">
        <v>371</v>
      </c>
      <c r="N10" t="s">
        <v>346</v>
      </c>
      <c r="O10" s="1">
        <v>18609</v>
      </c>
      <c r="P10">
        <v>9271131338</v>
      </c>
      <c r="Q10" t="s">
        <v>386</v>
      </c>
      <c r="R10">
        <v>44264</v>
      </c>
      <c r="S10" t="s">
        <v>367</v>
      </c>
      <c r="T10" t="s">
        <v>394</v>
      </c>
      <c r="U10" t="s">
        <v>383</v>
      </c>
      <c r="V10" t="s">
        <v>371</v>
      </c>
      <c r="W10" t="s">
        <v>309</v>
      </c>
      <c r="X10">
        <v>6176383634</v>
      </c>
      <c r="Y10">
        <v>21</v>
      </c>
      <c r="Z10" t="s">
        <v>298</v>
      </c>
      <c r="AA10" t="s">
        <v>395</v>
      </c>
      <c r="AB10" s="1">
        <v>44990</v>
      </c>
      <c r="AC10" s="3">
        <v>4541.1400000000003</v>
      </c>
      <c r="AD10" t="s">
        <v>316</v>
      </c>
      <c r="AE10" t="s">
        <v>363</v>
      </c>
    </row>
    <row r="11" spans="1:31" x14ac:dyDescent="0.3">
      <c r="A11" t="s">
        <v>32</v>
      </c>
      <c r="B11" t="s">
        <v>33</v>
      </c>
      <c r="C11" t="s">
        <v>18</v>
      </c>
      <c r="D11" s="1">
        <v>44939</v>
      </c>
      <c r="E11" s="2">
        <v>0.64583333333333337</v>
      </c>
      <c r="F11" t="s">
        <v>3</v>
      </c>
      <c r="G11" t="s">
        <v>34</v>
      </c>
      <c r="H11" t="s">
        <v>389</v>
      </c>
      <c r="I11" t="s">
        <v>364</v>
      </c>
      <c r="J11" s="3">
        <v>1595.67</v>
      </c>
      <c r="K11" s="1">
        <v>44939</v>
      </c>
      <c r="L11" t="s">
        <v>360</v>
      </c>
      <c r="M11" t="s">
        <v>371</v>
      </c>
      <c r="N11" t="s">
        <v>356</v>
      </c>
      <c r="O11" s="1">
        <v>22090</v>
      </c>
      <c r="P11">
        <v>7734463155</v>
      </c>
      <c r="Q11" t="s">
        <v>357</v>
      </c>
      <c r="R11">
        <v>44468</v>
      </c>
      <c r="S11" t="s">
        <v>358</v>
      </c>
      <c r="T11" t="s">
        <v>396</v>
      </c>
      <c r="U11" t="s">
        <v>381</v>
      </c>
      <c r="V11" t="s">
        <v>345</v>
      </c>
      <c r="W11" t="s">
        <v>310</v>
      </c>
      <c r="X11">
        <v>8737740598</v>
      </c>
      <c r="Y11">
        <v>19</v>
      </c>
      <c r="Z11" t="s">
        <v>298</v>
      </c>
      <c r="AA11" t="s">
        <v>397</v>
      </c>
      <c r="AB11" s="1">
        <v>44939</v>
      </c>
      <c r="AC11" s="3">
        <v>1595.67</v>
      </c>
      <c r="AD11" t="s">
        <v>311</v>
      </c>
      <c r="AE11" t="s">
        <v>363</v>
      </c>
    </row>
    <row r="12" spans="1:31" x14ac:dyDescent="0.3">
      <c r="A12" t="s">
        <v>35</v>
      </c>
      <c r="B12" t="s">
        <v>36</v>
      </c>
      <c r="C12" t="s">
        <v>25</v>
      </c>
      <c r="D12" s="1">
        <v>45242</v>
      </c>
      <c r="E12" s="2">
        <v>0.66666666666666663</v>
      </c>
      <c r="F12" t="s">
        <v>22</v>
      </c>
      <c r="G12" t="s">
        <v>8</v>
      </c>
      <c r="H12" t="s">
        <v>353</v>
      </c>
      <c r="I12" t="s">
        <v>343</v>
      </c>
      <c r="J12" s="3">
        <v>4671.66</v>
      </c>
      <c r="K12" s="1">
        <v>45242</v>
      </c>
      <c r="L12" t="s">
        <v>398</v>
      </c>
      <c r="M12" t="s">
        <v>399</v>
      </c>
      <c r="N12" t="s">
        <v>356</v>
      </c>
      <c r="O12" s="1">
        <v>20219</v>
      </c>
      <c r="P12">
        <v>6221099573</v>
      </c>
      <c r="Q12" t="s">
        <v>347</v>
      </c>
      <c r="R12">
        <v>44327</v>
      </c>
      <c r="S12" t="s">
        <v>358</v>
      </c>
      <c r="T12" t="s">
        <v>400</v>
      </c>
      <c r="U12" t="s">
        <v>370</v>
      </c>
      <c r="V12" t="s">
        <v>374</v>
      </c>
      <c r="W12" t="s">
        <v>309</v>
      </c>
      <c r="X12">
        <v>8217493115</v>
      </c>
      <c r="Y12">
        <v>26</v>
      </c>
      <c r="Z12" t="s">
        <v>299</v>
      </c>
      <c r="AA12" t="s">
        <v>401</v>
      </c>
      <c r="AB12" s="1">
        <v>45242</v>
      </c>
      <c r="AC12" s="3">
        <v>4671.66</v>
      </c>
      <c r="AD12" t="s">
        <v>311</v>
      </c>
      <c r="AE12" t="s">
        <v>376</v>
      </c>
    </row>
    <row r="13" spans="1:31" x14ac:dyDescent="0.3">
      <c r="A13" t="s">
        <v>37</v>
      </c>
      <c r="B13" t="s">
        <v>38</v>
      </c>
      <c r="C13" t="s">
        <v>18</v>
      </c>
      <c r="D13" s="1">
        <v>45053</v>
      </c>
      <c r="E13" s="2">
        <v>0.41666666666666669</v>
      </c>
      <c r="F13" t="s">
        <v>31</v>
      </c>
      <c r="G13" t="s">
        <v>34</v>
      </c>
      <c r="H13" t="s">
        <v>342</v>
      </c>
      <c r="I13" t="s">
        <v>364</v>
      </c>
      <c r="J13" s="3">
        <v>771.2</v>
      </c>
      <c r="K13" s="1">
        <v>45053</v>
      </c>
      <c r="L13" t="s">
        <v>360</v>
      </c>
      <c r="M13" t="s">
        <v>345</v>
      </c>
      <c r="N13" t="s">
        <v>356</v>
      </c>
      <c r="O13" s="1">
        <v>38487</v>
      </c>
      <c r="P13">
        <v>8923607677</v>
      </c>
      <c r="Q13" t="s">
        <v>386</v>
      </c>
      <c r="R13">
        <v>45035</v>
      </c>
      <c r="S13" t="s">
        <v>372</v>
      </c>
      <c r="T13" t="s">
        <v>402</v>
      </c>
      <c r="U13" t="s">
        <v>381</v>
      </c>
      <c r="V13" t="s">
        <v>345</v>
      </c>
      <c r="W13" t="s">
        <v>310</v>
      </c>
      <c r="X13">
        <v>8737740598</v>
      </c>
      <c r="Y13">
        <v>19</v>
      </c>
      <c r="Z13" t="s">
        <v>298</v>
      </c>
      <c r="AA13" t="s">
        <v>403</v>
      </c>
      <c r="AB13" s="1">
        <v>45053</v>
      </c>
      <c r="AC13" s="3">
        <v>771.2</v>
      </c>
      <c r="AD13" t="s">
        <v>317</v>
      </c>
      <c r="AE13" t="s">
        <v>352</v>
      </c>
    </row>
    <row r="14" spans="1:31" x14ac:dyDescent="0.3">
      <c r="A14" t="s">
        <v>39</v>
      </c>
      <c r="B14" t="s">
        <v>40</v>
      </c>
      <c r="C14" t="s">
        <v>41</v>
      </c>
      <c r="D14" s="1">
        <v>45154</v>
      </c>
      <c r="E14" s="2">
        <v>0.5</v>
      </c>
      <c r="F14" t="s">
        <v>19</v>
      </c>
      <c r="G14" t="s">
        <v>4</v>
      </c>
      <c r="H14" t="s">
        <v>353</v>
      </c>
      <c r="I14" t="s">
        <v>364</v>
      </c>
      <c r="J14" s="3">
        <v>4704.96</v>
      </c>
      <c r="K14" s="1">
        <v>45154</v>
      </c>
      <c r="L14" t="s">
        <v>404</v>
      </c>
      <c r="M14" t="s">
        <v>361</v>
      </c>
      <c r="N14" t="s">
        <v>356</v>
      </c>
      <c r="O14" s="1">
        <v>28358</v>
      </c>
      <c r="P14">
        <v>8397029847</v>
      </c>
      <c r="Q14" t="s">
        <v>347</v>
      </c>
      <c r="R14">
        <v>44599</v>
      </c>
      <c r="S14" t="s">
        <v>367</v>
      </c>
      <c r="T14" t="s">
        <v>405</v>
      </c>
      <c r="U14" t="s">
        <v>381</v>
      </c>
      <c r="V14" t="s">
        <v>374</v>
      </c>
      <c r="W14" t="s">
        <v>310</v>
      </c>
      <c r="X14">
        <v>9004382050</v>
      </c>
      <c r="Y14">
        <v>24</v>
      </c>
      <c r="Z14" t="s">
        <v>298</v>
      </c>
      <c r="AA14" t="s">
        <v>406</v>
      </c>
      <c r="AB14" s="1">
        <v>45154</v>
      </c>
      <c r="AC14" s="3">
        <v>4704.96</v>
      </c>
      <c r="AD14" t="s">
        <v>311</v>
      </c>
      <c r="AE14" t="s">
        <v>363</v>
      </c>
    </row>
    <row r="15" spans="1:31" x14ac:dyDescent="0.3">
      <c r="A15" t="s">
        <v>42</v>
      </c>
      <c r="B15" t="s">
        <v>43</v>
      </c>
      <c r="C15" t="s">
        <v>28</v>
      </c>
      <c r="D15" s="1">
        <v>45071</v>
      </c>
      <c r="E15" s="2">
        <v>0.4375</v>
      </c>
      <c r="F15" t="s">
        <v>19</v>
      </c>
      <c r="G15" t="s">
        <v>12</v>
      </c>
      <c r="H15" t="s">
        <v>377</v>
      </c>
      <c r="I15" t="s">
        <v>343</v>
      </c>
      <c r="J15" s="3">
        <v>2082.3000000000002</v>
      </c>
      <c r="K15" s="1">
        <v>45071</v>
      </c>
      <c r="L15" t="s">
        <v>404</v>
      </c>
      <c r="M15" t="s">
        <v>374</v>
      </c>
      <c r="N15" t="s">
        <v>346</v>
      </c>
      <c r="O15" s="1">
        <v>33580</v>
      </c>
      <c r="P15">
        <v>8135666049</v>
      </c>
      <c r="Q15" t="s">
        <v>347</v>
      </c>
      <c r="R15">
        <v>45043</v>
      </c>
      <c r="S15" t="s">
        <v>358</v>
      </c>
      <c r="T15" t="s">
        <v>407</v>
      </c>
      <c r="U15" t="s">
        <v>383</v>
      </c>
      <c r="V15" t="s">
        <v>371</v>
      </c>
      <c r="W15" t="s">
        <v>309</v>
      </c>
      <c r="X15">
        <v>6176383634</v>
      </c>
      <c r="Y15">
        <v>21</v>
      </c>
      <c r="Z15" t="s">
        <v>298</v>
      </c>
      <c r="AA15" t="s">
        <v>408</v>
      </c>
      <c r="AB15" s="1">
        <v>45071</v>
      </c>
      <c r="AC15" s="3">
        <v>2082.3000000000002</v>
      </c>
      <c r="AD15" t="s">
        <v>316</v>
      </c>
      <c r="AE15" t="s">
        <v>363</v>
      </c>
    </row>
    <row r="16" spans="1:31" x14ac:dyDescent="0.3">
      <c r="A16" t="s">
        <v>44</v>
      </c>
      <c r="B16" t="s">
        <v>45</v>
      </c>
      <c r="C16" t="s">
        <v>7</v>
      </c>
      <c r="D16" s="1">
        <v>44941</v>
      </c>
      <c r="E16" s="2">
        <v>0.71875</v>
      </c>
      <c r="F16" t="s">
        <v>11</v>
      </c>
      <c r="G16" t="s">
        <v>8</v>
      </c>
      <c r="H16" t="s">
        <v>389</v>
      </c>
      <c r="I16" t="s">
        <v>343</v>
      </c>
      <c r="J16" s="3">
        <v>956.39</v>
      </c>
      <c r="K16" s="1">
        <v>44941</v>
      </c>
      <c r="L16" t="s">
        <v>398</v>
      </c>
      <c r="M16" t="s">
        <v>391</v>
      </c>
      <c r="N16" t="s">
        <v>356</v>
      </c>
      <c r="O16" s="1">
        <v>37953</v>
      </c>
      <c r="P16">
        <v>9900972256</v>
      </c>
      <c r="Q16" t="s">
        <v>357</v>
      </c>
      <c r="R16">
        <v>44329</v>
      </c>
      <c r="S16" t="s">
        <v>358</v>
      </c>
      <c r="T16" t="s">
        <v>409</v>
      </c>
      <c r="U16" t="s">
        <v>360</v>
      </c>
      <c r="V16" t="s">
        <v>361</v>
      </c>
      <c r="W16" t="s">
        <v>310</v>
      </c>
      <c r="X16">
        <v>6594221991</v>
      </c>
      <c r="Y16">
        <v>28</v>
      </c>
      <c r="Z16" t="s">
        <v>297</v>
      </c>
      <c r="AA16" t="s">
        <v>410</v>
      </c>
      <c r="AB16" s="1">
        <v>44941</v>
      </c>
      <c r="AC16" s="3">
        <v>956.39</v>
      </c>
      <c r="AD16" t="s">
        <v>317</v>
      </c>
      <c r="AE16" t="s">
        <v>352</v>
      </c>
    </row>
    <row r="17" spans="1:31" x14ac:dyDescent="0.3">
      <c r="A17" t="s">
        <v>46</v>
      </c>
      <c r="B17" t="s">
        <v>27</v>
      </c>
      <c r="C17" t="s">
        <v>47</v>
      </c>
      <c r="D17" s="1">
        <v>45107</v>
      </c>
      <c r="E17" s="2">
        <v>0.45833333333333331</v>
      </c>
      <c r="F17" t="s">
        <v>11</v>
      </c>
      <c r="G17" t="s">
        <v>4</v>
      </c>
      <c r="H17" t="s">
        <v>353</v>
      </c>
      <c r="I17" t="s">
        <v>343</v>
      </c>
      <c r="J17" s="3">
        <v>2686.42</v>
      </c>
      <c r="K17" s="1">
        <v>45107</v>
      </c>
      <c r="L17" t="s">
        <v>390</v>
      </c>
      <c r="M17" t="s">
        <v>391</v>
      </c>
      <c r="N17" t="s">
        <v>356</v>
      </c>
      <c r="O17" s="1">
        <v>36729</v>
      </c>
      <c r="P17">
        <v>7223380592</v>
      </c>
      <c r="Q17" t="s">
        <v>386</v>
      </c>
      <c r="R17">
        <v>44400</v>
      </c>
      <c r="S17" t="s">
        <v>367</v>
      </c>
      <c r="T17" t="s">
        <v>392</v>
      </c>
      <c r="U17" t="s">
        <v>383</v>
      </c>
      <c r="V17" t="s">
        <v>399</v>
      </c>
      <c r="W17" t="s">
        <v>308</v>
      </c>
      <c r="X17">
        <v>9069162601</v>
      </c>
      <c r="Y17">
        <v>5</v>
      </c>
      <c r="Z17" t="s">
        <v>299</v>
      </c>
      <c r="AA17" t="s">
        <v>393</v>
      </c>
      <c r="AB17" s="1">
        <v>45070</v>
      </c>
      <c r="AC17" s="3">
        <v>3413.64</v>
      </c>
      <c r="AD17" t="s">
        <v>311</v>
      </c>
      <c r="AE17" t="s">
        <v>376</v>
      </c>
    </row>
    <row r="18" spans="1:31" x14ac:dyDescent="0.3">
      <c r="A18" t="s">
        <v>48</v>
      </c>
      <c r="B18" t="s">
        <v>49</v>
      </c>
      <c r="C18" t="s">
        <v>2</v>
      </c>
      <c r="D18" s="1">
        <v>45118</v>
      </c>
      <c r="E18" s="2">
        <v>0.70833333333333337</v>
      </c>
      <c r="F18" t="s">
        <v>19</v>
      </c>
      <c r="G18" t="s">
        <v>4</v>
      </c>
      <c r="H18" t="s">
        <v>353</v>
      </c>
      <c r="I18" t="s">
        <v>343</v>
      </c>
      <c r="J18" s="3">
        <v>1655.49</v>
      </c>
      <c r="K18" s="1">
        <v>45118</v>
      </c>
      <c r="L18" t="s">
        <v>370</v>
      </c>
      <c r="M18" t="s">
        <v>378</v>
      </c>
      <c r="N18" t="s">
        <v>356</v>
      </c>
      <c r="O18" s="1">
        <v>36196</v>
      </c>
      <c r="P18">
        <v>8886800195</v>
      </c>
      <c r="Q18" t="s">
        <v>379</v>
      </c>
      <c r="R18">
        <v>44469</v>
      </c>
      <c r="S18" t="s">
        <v>372</v>
      </c>
      <c r="T18" t="s">
        <v>411</v>
      </c>
      <c r="U18" t="s">
        <v>350</v>
      </c>
      <c r="V18" t="s">
        <v>345</v>
      </c>
      <c r="W18" t="s">
        <v>310</v>
      </c>
      <c r="X18">
        <v>7387087517</v>
      </c>
      <c r="Y18">
        <v>26</v>
      </c>
      <c r="Z18" t="s">
        <v>297</v>
      </c>
      <c r="AA18" t="s">
        <v>412</v>
      </c>
      <c r="AB18" s="1">
        <v>45118</v>
      </c>
      <c r="AC18" s="3">
        <v>1655.49</v>
      </c>
      <c r="AD18" t="s">
        <v>316</v>
      </c>
      <c r="AE18" t="s">
        <v>352</v>
      </c>
    </row>
    <row r="19" spans="1:31" x14ac:dyDescent="0.3">
      <c r="A19" t="s">
        <v>50</v>
      </c>
      <c r="B19" t="s">
        <v>36</v>
      </c>
      <c r="C19" t="s">
        <v>25</v>
      </c>
      <c r="D19" s="1">
        <v>45244</v>
      </c>
      <c r="E19" s="2">
        <v>0.40625</v>
      </c>
      <c r="F19" t="s">
        <v>11</v>
      </c>
      <c r="G19" t="s">
        <v>12</v>
      </c>
      <c r="H19" t="s">
        <v>377</v>
      </c>
      <c r="I19" t="s">
        <v>354</v>
      </c>
      <c r="J19" s="3">
        <v>1781.93</v>
      </c>
      <c r="K19" s="1">
        <v>45244</v>
      </c>
      <c r="L19" t="s">
        <v>398</v>
      </c>
      <c r="M19" t="s">
        <v>399</v>
      </c>
      <c r="N19" t="s">
        <v>356</v>
      </c>
      <c r="O19" s="1">
        <v>20219</v>
      </c>
      <c r="P19">
        <v>6221099573</v>
      </c>
      <c r="Q19" t="s">
        <v>347</v>
      </c>
      <c r="R19">
        <v>44327</v>
      </c>
      <c r="S19" t="s">
        <v>358</v>
      </c>
      <c r="T19" t="s">
        <v>400</v>
      </c>
      <c r="U19" t="s">
        <v>370</v>
      </c>
      <c r="V19" t="s">
        <v>374</v>
      </c>
      <c r="W19" t="s">
        <v>309</v>
      </c>
      <c r="X19">
        <v>8217493115</v>
      </c>
      <c r="Y19">
        <v>26</v>
      </c>
      <c r="Z19" t="s">
        <v>299</v>
      </c>
      <c r="AA19" t="s">
        <v>401</v>
      </c>
      <c r="AB19" s="1">
        <v>45242</v>
      </c>
      <c r="AC19" s="3">
        <v>4671.66</v>
      </c>
      <c r="AD19" t="s">
        <v>311</v>
      </c>
      <c r="AE19" t="s">
        <v>376</v>
      </c>
    </row>
    <row r="20" spans="1:31" x14ac:dyDescent="0.3">
      <c r="A20" t="s">
        <v>51</v>
      </c>
      <c r="B20" t="s">
        <v>38</v>
      </c>
      <c r="C20" t="s">
        <v>52</v>
      </c>
      <c r="D20" s="1">
        <v>44963</v>
      </c>
      <c r="E20" s="2">
        <v>0.64583333333333337</v>
      </c>
      <c r="F20" t="s">
        <v>22</v>
      </c>
      <c r="G20" t="s">
        <v>12</v>
      </c>
      <c r="H20" t="s">
        <v>413</v>
      </c>
      <c r="I20" t="s">
        <v>343</v>
      </c>
      <c r="J20" s="3">
        <v>1882.8</v>
      </c>
      <c r="K20" s="1">
        <v>44963</v>
      </c>
      <c r="L20" t="s">
        <v>360</v>
      </c>
      <c r="M20" t="s">
        <v>345</v>
      </c>
      <c r="N20" t="s">
        <v>356</v>
      </c>
      <c r="O20" s="1">
        <v>38487</v>
      </c>
      <c r="P20">
        <v>8923607677</v>
      </c>
      <c r="Q20" t="s">
        <v>386</v>
      </c>
      <c r="R20">
        <v>45035</v>
      </c>
      <c r="S20" t="s">
        <v>372</v>
      </c>
      <c r="T20" t="s">
        <v>402</v>
      </c>
      <c r="U20" t="s">
        <v>360</v>
      </c>
      <c r="V20" t="s">
        <v>391</v>
      </c>
      <c r="W20" t="s">
        <v>308</v>
      </c>
      <c r="X20">
        <v>8322010158</v>
      </c>
      <c r="Y20">
        <v>17</v>
      </c>
      <c r="Z20" t="s">
        <v>299</v>
      </c>
      <c r="AA20" t="s">
        <v>403</v>
      </c>
      <c r="AB20" s="1">
        <v>45053</v>
      </c>
      <c r="AC20" s="3">
        <v>771.2</v>
      </c>
      <c r="AD20" t="s">
        <v>317</v>
      </c>
      <c r="AE20" t="s">
        <v>352</v>
      </c>
    </row>
    <row r="21" spans="1:31" x14ac:dyDescent="0.3">
      <c r="A21" t="s">
        <v>53</v>
      </c>
      <c r="B21" t="s">
        <v>54</v>
      </c>
      <c r="C21" t="s">
        <v>18</v>
      </c>
      <c r="D21" s="1">
        <v>45265</v>
      </c>
      <c r="E21" s="2">
        <v>0.63541666666666663</v>
      </c>
      <c r="F21" t="s">
        <v>11</v>
      </c>
      <c r="G21" t="s">
        <v>34</v>
      </c>
      <c r="H21" t="s">
        <v>342</v>
      </c>
      <c r="I21" t="s">
        <v>354</v>
      </c>
      <c r="J21" s="3">
        <v>4113.62</v>
      </c>
      <c r="K21" s="1">
        <v>45265</v>
      </c>
      <c r="L21" t="s">
        <v>344</v>
      </c>
      <c r="M21" t="s">
        <v>391</v>
      </c>
      <c r="N21" t="s">
        <v>356</v>
      </c>
      <c r="O21" s="1">
        <v>24895</v>
      </c>
      <c r="P21">
        <v>7292262512</v>
      </c>
      <c r="Q21" t="s">
        <v>386</v>
      </c>
      <c r="R21">
        <v>45272</v>
      </c>
      <c r="S21" t="s">
        <v>358</v>
      </c>
      <c r="T21" t="s">
        <v>414</v>
      </c>
      <c r="U21" t="s">
        <v>381</v>
      </c>
      <c r="V21" t="s">
        <v>345</v>
      </c>
      <c r="W21" t="s">
        <v>310</v>
      </c>
      <c r="X21">
        <v>8737740598</v>
      </c>
      <c r="Y21">
        <v>19</v>
      </c>
      <c r="Z21" t="s">
        <v>298</v>
      </c>
      <c r="AA21" t="s">
        <v>415</v>
      </c>
      <c r="AB21" s="1">
        <v>45265</v>
      </c>
      <c r="AC21" s="3">
        <v>4113.62</v>
      </c>
      <c r="AD21" t="s">
        <v>316</v>
      </c>
      <c r="AE21" t="s">
        <v>376</v>
      </c>
    </row>
    <row r="22" spans="1:31" x14ac:dyDescent="0.3">
      <c r="A22" t="s">
        <v>55</v>
      </c>
      <c r="B22" t="s">
        <v>56</v>
      </c>
      <c r="C22" t="s">
        <v>2</v>
      </c>
      <c r="D22" s="1">
        <v>45040</v>
      </c>
      <c r="E22" s="2">
        <v>0.41666666666666669</v>
      </c>
      <c r="F22" t="s">
        <v>3</v>
      </c>
      <c r="G22" t="s">
        <v>8</v>
      </c>
      <c r="H22" t="s">
        <v>413</v>
      </c>
      <c r="I22" t="s">
        <v>354</v>
      </c>
      <c r="J22" s="3">
        <v>2926.23</v>
      </c>
      <c r="K22" s="1">
        <v>45040</v>
      </c>
      <c r="L22" t="s">
        <v>344</v>
      </c>
      <c r="M22" t="s">
        <v>355</v>
      </c>
      <c r="N22" t="s">
        <v>356</v>
      </c>
      <c r="O22" s="1">
        <v>34072</v>
      </c>
      <c r="P22">
        <v>7028910482</v>
      </c>
      <c r="Q22" t="s">
        <v>347</v>
      </c>
      <c r="R22">
        <v>45066</v>
      </c>
      <c r="S22" t="s">
        <v>358</v>
      </c>
      <c r="T22" t="s">
        <v>416</v>
      </c>
      <c r="U22" t="s">
        <v>350</v>
      </c>
      <c r="V22" t="s">
        <v>345</v>
      </c>
      <c r="W22" t="s">
        <v>310</v>
      </c>
      <c r="X22">
        <v>7387087517</v>
      </c>
      <c r="Y22">
        <v>26</v>
      </c>
      <c r="Z22" t="s">
        <v>297</v>
      </c>
      <c r="AA22" t="s">
        <v>417</v>
      </c>
      <c r="AB22" s="1">
        <v>45040</v>
      </c>
      <c r="AC22" s="3">
        <v>2926.23</v>
      </c>
      <c r="AD22" t="s">
        <v>317</v>
      </c>
      <c r="AE22" t="s">
        <v>376</v>
      </c>
    </row>
    <row r="23" spans="1:31" x14ac:dyDescent="0.3">
      <c r="A23" t="s">
        <v>57</v>
      </c>
      <c r="B23" t="s">
        <v>33</v>
      </c>
      <c r="C23" t="s">
        <v>52</v>
      </c>
      <c r="D23" s="1">
        <v>45244</v>
      </c>
      <c r="E23" s="2">
        <v>0.54166666666666663</v>
      </c>
      <c r="F23" t="s">
        <v>11</v>
      </c>
      <c r="G23" t="s">
        <v>8</v>
      </c>
      <c r="H23" t="s">
        <v>389</v>
      </c>
      <c r="I23" t="s">
        <v>354</v>
      </c>
      <c r="J23" s="3">
        <v>1900.88</v>
      </c>
      <c r="K23" s="1">
        <v>45244</v>
      </c>
      <c r="L23" t="s">
        <v>360</v>
      </c>
      <c r="M23" t="s">
        <v>371</v>
      </c>
      <c r="N23" t="s">
        <v>356</v>
      </c>
      <c r="O23" s="1">
        <v>22090</v>
      </c>
      <c r="P23">
        <v>7734463155</v>
      </c>
      <c r="Q23" t="s">
        <v>357</v>
      </c>
      <c r="R23">
        <v>44468</v>
      </c>
      <c r="S23" t="s">
        <v>358</v>
      </c>
      <c r="T23" t="s">
        <v>396</v>
      </c>
      <c r="U23" t="s">
        <v>360</v>
      </c>
      <c r="V23" t="s">
        <v>391</v>
      </c>
      <c r="W23" t="s">
        <v>308</v>
      </c>
      <c r="X23">
        <v>8322010158</v>
      </c>
      <c r="Y23">
        <v>17</v>
      </c>
      <c r="Z23" t="s">
        <v>299</v>
      </c>
      <c r="AA23" t="s">
        <v>397</v>
      </c>
      <c r="AB23" s="1">
        <v>44939</v>
      </c>
      <c r="AC23" s="3">
        <v>1595.67</v>
      </c>
      <c r="AD23" t="s">
        <v>311</v>
      </c>
      <c r="AE23" t="s">
        <v>363</v>
      </c>
    </row>
    <row r="24" spans="1:31" x14ac:dyDescent="0.3">
      <c r="A24" t="s">
        <v>58</v>
      </c>
      <c r="B24" t="s">
        <v>59</v>
      </c>
      <c r="C24" t="s">
        <v>2</v>
      </c>
      <c r="D24" s="1">
        <v>45055</v>
      </c>
      <c r="E24" s="2">
        <v>0.60416666666666663</v>
      </c>
      <c r="F24" t="s">
        <v>31</v>
      </c>
      <c r="G24" t="s">
        <v>12</v>
      </c>
      <c r="H24" t="s">
        <v>353</v>
      </c>
      <c r="I24" t="s">
        <v>364</v>
      </c>
      <c r="J24" s="3">
        <v>3246.5</v>
      </c>
      <c r="K24" s="1">
        <v>45055</v>
      </c>
      <c r="L24" t="s">
        <v>381</v>
      </c>
      <c r="M24" t="s">
        <v>355</v>
      </c>
      <c r="N24" t="s">
        <v>356</v>
      </c>
      <c r="O24" s="1">
        <v>35046</v>
      </c>
      <c r="P24">
        <v>8715732851</v>
      </c>
      <c r="Q24" t="s">
        <v>347</v>
      </c>
      <c r="R24">
        <v>44701</v>
      </c>
      <c r="S24" t="s">
        <v>348</v>
      </c>
      <c r="T24" t="s">
        <v>418</v>
      </c>
      <c r="U24" t="s">
        <v>350</v>
      </c>
      <c r="V24" t="s">
        <v>345</v>
      </c>
      <c r="W24" t="s">
        <v>310</v>
      </c>
      <c r="X24">
        <v>7387087517</v>
      </c>
      <c r="Y24">
        <v>26</v>
      </c>
      <c r="Z24" t="s">
        <v>297</v>
      </c>
      <c r="AA24" t="s">
        <v>419</v>
      </c>
      <c r="AB24" s="1">
        <v>45055</v>
      </c>
      <c r="AC24" s="3">
        <v>3246.5</v>
      </c>
      <c r="AD24" t="s">
        <v>316</v>
      </c>
      <c r="AE24" t="s">
        <v>352</v>
      </c>
    </row>
    <row r="25" spans="1:31" x14ac:dyDescent="0.3">
      <c r="A25" t="s">
        <v>60</v>
      </c>
      <c r="B25" t="s">
        <v>61</v>
      </c>
      <c r="C25" t="s">
        <v>47</v>
      </c>
      <c r="D25" s="1">
        <v>45098</v>
      </c>
      <c r="E25" s="2">
        <v>0.33333333333333331</v>
      </c>
      <c r="F25" t="s">
        <v>22</v>
      </c>
      <c r="G25" t="s">
        <v>34</v>
      </c>
      <c r="H25" t="s">
        <v>377</v>
      </c>
      <c r="I25" t="s">
        <v>354</v>
      </c>
      <c r="J25" s="3">
        <v>3722.68</v>
      </c>
      <c r="K25" s="1">
        <v>45098</v>
      </c>
      <c r="L25" t="s">
        <v>360</v>
      </c>
      <c r="M25" t="s">
        <v>355</v>
      </c>
      <c r="N25" t="s">
        <v>356</v>
      </c>
      <c r="O25" s="1">
        <v>26629</v>
      </c>
      <c r="P25">
        <v>7712937941</v>
      </c>
      <c r="Q25" t="s">
        <v>347</v>
      </c>
      <c r="R25">
        <v>45091</v>
      </c>
      <c r="S25" t="s">
        <v>358</v>
      </c>
      <c r="T25" t="s">
        <v>420</v>
      </c>
      <c r="U25" t="s">
        <v>383</v>
      </c>
      <c r="V25" t="s">
        <v>399</v>
      </c>
      <c r="W25" t="s">
        <v>308</v>
      </c>
      <c r="X25">
        <v>9069162601</v>
      </c>
      <c r="Y25">
        <v>5</v>
      </c>
      <c r="Z25" t="s">
        <v>299</v>
      </c>
      <c r="AA25" t="s">
        <v>421</v>
      </c>
      <c r="AB25" s="1">
        <v>45098</v>
      </c>
      <c r="AC25" s="3">
        <v>3722.68</v>
      </c>
      <c r="AD25" t="s">
        <v>311</v>
      </c>
      <c r="AE25" t="s">
        <v>352</v>
      </c>
    </row>
    <row r="26" spans="1:31" x14ac:dyDescent="0.3">
      <c r="A26" t="s">
        <v>62</v>
      </c>
      <c r="B26" t="s">
        <v>63</v>
      </c>
      <c r="C26" t="s">
        <v>52</v>
      </c>
      <c r="D26" s="1">
        <v>44982</v>
      </c>
      <c r="E26" s="2">
        <v>0.33333333333333331</v>
      </c>
      <c r="F26" t="s">
        <v>31</v>
      </c>
      <c r="G26" t="s">
        <v>8</v>
      </c>
      <c r="H26" t="s">
        <v>377</v>
      </c>
      <c r="I26" t="s">
        <v>354</v>
      </c>
      <c r="J26" s="3">
        <v>1726.81</v>
      </c>
      <c r="K26" s="1">
        <v>44982</v>
      </c>
      <c r="L26" t="s">
        <v>365</v>
      </c>
      <c r="M26" t="s">
        <v>355</v>
      </c>
      <c r="N26" t="s">
        <v>356</v>
      </c>
      <c r="O26" s="1">
        <v>23734</v>
      </c>
      <c r="P26">
        <v>6622318721</v>
      </c>
      <c r="Q26" t="s">
        <v>379</v>
      </c>
      <c r="R26">
        <v>44415</v>
      </c>
      <c r="S26" t="s">
        <v>367</v>
      </c>
      <c r="T26" t="s">
        <v>422</v>
      </c>
      <c r="U26" t="s">
        <v>360</v>
      </c>
      <c r="V26" t="s">
        <v>391</v>
      </c>
      <c r="W26" t="s">
        <v>308</v>
      </c>
      <c r="X26">
        <v>8322010158</v>
      </c>
      <c r="Y26">
        <v>17</v>
      </c>
      <c r="Z26" t="s">
        <v>299</v>
      </c>
      <c r="AA26" t="s">
        <v>423</v>
      </c>
      <c r="AB26" s="1">
        <v>44982</v>
      </c>
      <c r="AC26" s="3">
        <v>1726.81</v>
      </c>
      <c r="AD26" t="s">
        <v>311</v>
      </c>
      <c r="AE26" t="s">
        <v>376</v>
      </c>
    </row>
    <row r="27" spans="1:31" x14ac:dyDescent="0.3">
      <c r="A27" t="s">
        <v>64</v>
      </c>
      <c r="B27" t="s">
        <v>65</v>
      </c>
      <c r="C27" t="s">
        <v>15</v>
      </c>
      <c r="D27" s="1">
        <v>45002</v>
      </c>
      <c r="E27" s="2">
        <v>0.59375</v>
      </c>
      <c r="F27" t="s">
        <v>31</v>
      </c>
      <c r="G27" t="s">
        <v>12</v>
      </c>
      <c r="H27" t="s">
        <v>342</v>
      </c>
      <c r="I27" t="s">
        <v>364</v>
      </c>
      <c r="J27" s="3">
        <v>2360.9699999999998</v>
      </c>
      <c r="K27" s="1">
        <v>45002</v>
      </c>
      <c r="L27" t="s">
        <v>390</v>
      </c>
      <c r="M27" t="s">
        <v>391</v>
      </c>
      <c r="N27" t="s">
        <v>346</v>
      </c>
      <c r="O27" s="1">
        <v>31656</v>
      </c>
      <c r="P27">
        <v>8019925828</v>
      </c>
      <c r="Q27" t="s">
        <v>379</v>
      </c>
      <c r="R27">
        <v>44408</v>
      </c>
      <c r="S27" t="s">
        <v>358</v>
      </c>
      <c r="T27" t="s">
        <v>424</v>
      </c>
      <c r="U27" t="s">
        <v>344</v>
      </c>
      <c r="V27" t="s">
        <v>374</v>
      </c>
      <c r="W27" t="s">
        <v>310</v>
      </c>
      <c r="X27">
        <v>6570137231</v>
      </c>
      <c r="Y27">
        <v>23</v>
      </c>
      <c r="Z27" t="s">
        <v>297</v>
      </c>
      <c r="AA27" t="s">
        <v>425</v>
      </c>
      <c r="AB27" s="1">
        <v>45002</v>
      </c>
      <c r="AC27" s="3">
        <v>2360.9699999999998</v>
      </c>
      <c r="AD27" t="s">
        <v>317</v>
      </c>
      <c r="AE27" t="s">
        <v>363</v>
      </c>
    </row>
    <row r="28" spans="1:31" x14ac:dyDescent="0.3">
      <c r="A28" t="s">
        <v>66</v>
      </c>
      <c r="B28" t="s">
        <v>33</v>
      </c>
      <c r="C28" t="s">
        <v>67</v>
      </c>
      <c r="D28" s="1">
        <v>45244</v>
      </c>
      <c r="E28" s="2">
        <v>0.53125</v>
      </c>
      <c r="F28" t="s">
        <v>3</v>
      </c>
      <c r="G28" t="s">
        <v>4</v>
      </c>
      <c r="H28" t="s">
        <v>413</v>
      </c>
      <c r="I28" t="s">
        <v>364</v>
      </c>
      <c r="J28" s="3">
        <v>1048.49</v>
      </c>
      <c r="K28" s="1">
        <v>45244</v>
      </c>
      <c r="L28" t="s">
        <v>360</v>
      </c>
      <c r="M28" t="s">
        <v>371</v>
      </c>
      <c r="N28" t="s">
        <v>356</v>
      </c>
      <c r="O28" s="1">
        <v>22090</v>
      </c>
      <c r="P28">
        <v>7734463155</v>
      </c>
      <c r="Q28" t="s">
        <v>357</v>
      </c>
      <c r="R28">
        <v>44468</v>
      </c>
      <c r="S28" t="s">
        <v>358</v>
      </c>
      <c r="T28" t="s">
        <v>396</v>
      </c>
      <c r="U28" t="s">
        <v>350</v>
      </c>
      <c r="V28" t="s">
        <v>391</v>
      </c>
      <c r="W28" t="s">
        <v>308</v>
      </c>
      <c r="X28">
        <v>9118538547</v>
      </c>
      <c r="Y28">
        <v>26</v>
      </c>
      <c r="Z28" t="s">
        <v>297</v>
      </c>
      <c r="AA28" t="s">
        <v>397</v>
      </c>
      <c r="AB28" s="1">
        <v>44939</v>
      </c>
      <c r="AC28" s="3">
        <v>1595.67</v>
      </c>
      <c r="AD28" t="s">
        <v>311</v>
      </c>
      <c r="AE28" t="s">
        <v>363</v>
      </c>
    </row>
    <row r="29" spans="1:31" x14ac:dyDescent="0.3">
      <c r="A29" t="s">
        <v>68</v>
      </c>
      <c r="B29" t="s">
        <v>43</v>
      </c>
      <c r="C29" t="s">
        <v>15</v>
      </c>
      <c r="D29" s="1">
        <v>45228</v>
      </c>
      <c r="E29" s="2">
        <v>0.64583333333333337</v>
      </c>
      <c r="F29" t="s">
        <v>22</v>
      </c>
      <c r="G29" t="s">
        <v>8</v>
      </c>
      <c r="H29" t="s">
        <v>342</v>
      </c>
      <c r="I29" t="s">
        <v>364</v>
      </c>
      <c r="J29" s="3">
        <v>1315.17</v>
      </c>
      <c r="K29" s="1">
        <v>45228</v>
      </c>
      <c r="L29" t="s">
        <v>404</v>
      </c>
      <c r="M29" t="s">
        <v>374</v>
      </c>
      <c r="N29" t="s">
        <v>346</v>
      </c>
      <c r="O29" s="1">
        <v>33580</v>
      </c>
      <c r="P29">
        <v>8135666049</v>
      </c>
      <c r="Q29" t="s">
        <v>347</v>
      </c>
      <c r="R29">
        <v>45043</v>
      </c>
      <c r="S29" t="s">
        <v>358</v>
      </c>
      <c r="T29" t="s">
        <v>407</v>
      </c>
      <c r="U29" t="s">
        <v>344</v>
      </c>
      <c r="V29" t="s">
        <v>374</v>
      </c>
      <c r="W29" t="s">
        <v>310</v>
      </c>
      <c r="X29">
        <v>6570137231</v>
      </c>
      <c r="Y29">
        <v>23</v>
      </c>
      <c r="Z29" t="s">
        <v>297</v>
      </c>
      <c r="AA29" t="s">
        <v>408</v>
      </c>
      <c r="AB29" s="1">
        <v>45071</v>
      </c>
      <c r="AC29" s="3">
        <v>2082.3000000000002</v>
      </c>
      <c r="AD29" t="s">
        <v>316</v>
      </c>
      <c r="AE29" t="s">
        <v>363</v>
      </c>
    </row>
    <row r="30" spans="1:31" x14ac:dyDescent="0.3">
      <c r="A30" t="s">
        <v>69</v>
      </c>
      <c r="B30" t="s">
        <v>27</v>
      </c>
      <c r="C30" t="s">
        <v>28</v>
      </c>
      <c r="D30" s="1">
        <v>45102</v>
      </c>
      <c r="E30" s="2">
        <v>0.60416666666666663</v>
      </c>
      <c r="F30" t="s">
        <v>22</v>
      </c>
      <c r="G30" t="s">
        <v>34</v>
      </c>
      <c r="H30" t="s">
        <v>353</v>
      </c>
      <c r="I30" t="s">
        <v>343</v>
      </c>
      <c r="J30" s="3">
        <v>3565.03</v>
      </c>
      <c r="K30" s="1">
        <v>45102</v>
      </c>
      <c r="L30" t="s">
        <v>390</v>
      </c>
      <c r="M30" t="s">
        <v>391</v>
      </c>
      <c r="N30" t="s">
        <v>356</v>
      </c>
      <c r="O30" s="1">
        <v>36729</v>
      </c>
      <c r="P30">
        <v>7223380592</v>
      </c>
      <c r="Q30" t="s">
        <v>386</v>
      </c>
      <c r="R30">
        <v>44400</v>
      </c>
      <c r="S30" t="s">
        <v>367</v>
      </c>
      <c r="T30" t="s">
        <v>392</v>
      </c>
      <c r="U30" t="s">
        <v>383</v>
      </c>
      <c r="V30" t="s">
        <v>371</v>
      </c>
      <c r="W30" t="s">
        <v>309</v>
      </c>
      <c r="X30">
        <v>6176383634</v>
      </c>
      <c r="Y30">
        <v>21</v>
      </c>
      <c r="Z30" t="s">
        <v>298</v>
      </c>
      <c r="AA30" t="s">
        <v>393</v>
      </c>
      <c r="AB30" s="1">
        <v>45070</v>
      </c>
      <c r="AC30" s="3">
        <v>3413.64</v>
      </c>
      <c r="AD30" t="s">
        <v>311</v>
      </c>
      <c r="AE30" t="s">
        <v>376</v>
      </c>
    </row>
    <row r="31" spans="1:31" x14ac:dyDescent="0.3">
      <c r="A31" t="s">
        <v>70</v>
      </c>
      <c r="B31" t="s">
        <v>45</v>
      </c>
      <c r="C31" t="s">
        <v>67</v>
      </c>
      <c r="D31" s="1">
        <v>45167</v>
      </c>
      <c r="E31" s="2">
        <v>0.55208333333333337</v>
      </c>
      <c r="F31" t="s">
        <v>22</v>
      </c>
      <c r="G31" t="s">
        <v>34</v>
      </c>
      <c r="H31" t="s">
        <v>342</v>
      </c>
      <c r="I31" t="s">
        <v>364</v>
      </c>
      <c r="J31" s="3">
        <v>1316.47</v>
      </c>
      <c r="K31" s="1">
        <v>45167</v>
      </c>
      <c r="L31" t="s">
        <v>398</v>
      </c>
      <c r="M31" t="s">
        <v>391</v>
      </c>
      <c r="N31" t="s">
        <v>356</v>
      </c>
      <c r="O31" s="1">
        <v>37953</v>
      </c>
      <c r="P31">
        <v>9900972256</v>
      </c>
      <c r="Q31" t="s">
        <v>357</v>
      </c>
      <c r="R31">
        <v>44329</v>
      </c>
      <c r="S31" t="s">
        <v>358</v>
      </c>
      <c r="T31" t="s">
        <v>409</v>
      </c>
      <c r="U31" t="s">
        <v>350</v>
      </c>
      <c r="V31" t="s">
        <v>391</v>
      </c>
      <c r="W31" t="s">
        <v>308</v>
      </c>
      <c r="X31">
        <v>9118538547</v>
      </c>
      <c r="Y31">
        <v>26</v>
      </c>
      <c r="Z31" t="s">
        <v>297</v>
      </c>
      <c r="AA31" t="s">
        <v>410</v>
      </c>
      <c r="AB31" s="1">
        <v>44941</v>
      </c>
      <c r="AC31" s="3">
        <v>956.39</v>
      </c>
      <c r="AD31" t="s">
        <v>317</v>
      </c>
      <c r="AE31" t="s">
        <v>352</v>
      </c>
    </row>
    <row r="32" spans="1:31" x14ac:dyDescent="0.3">
      <c r="A32" t="s">
        <v>71</v>
      </c>
      <c r="B32" t="s">
        <v>45</v>
      </c>
      <c r="C32" t="s">
        <v>15</v>
      </c>
      <c r="D32" s="1">
        <v>45020</v>
      </c>
      <c r="E32" s="2">
        <v>0.4375</v>
      </c>
      <c r="F32" t="s">
        <v>22</v>
      </c>
      <c r="G32" t="s">
        <v>34</v>
      </c>
      <c r="H32" t="s">
        <v>377</v>
      </c>
      <c r="I32" t="s">
        <v>364</v>
      </c>
      <c r="J32" s="3">
        <v>2863.24</v>
      </c>
      <c r="K32" s="1">
        <v>45020</v>
      </c>
      <c r="L32" t="s">
        <v>398</v>
      </c>
      <c r="M32" t="s">
        <v>391</v>
      </c>
      <c r="N32" t="s">
        <v>356</v>
      </c>
      <c r="O32" s="1">
        <v>37953</v>
      </c>
      <c r="P32">
        <v>9900972256</v>
      </c>
      <c r="Q32" t="s">
        <v>357</v>
      </c>
      <c r="R32">
        <v>44329</v>
      </c>
      <c r="S32" t="s">
        <v>358</v>
      </c>
      <c r="T32" t="s">
        <v>409</v>
      </c>
      <c r="U32" t="s">
        <v>344</v>
      </c>
      <c r="V32" t="s">
        <v>374</v>
      </c>
      <c r="W32" t="s">
        <v>310</v>
      </c>
      <c r="X32">
        <v>6570137231</v>
      </c>
      <c r="Y32">
        <v>23</v>
      </c>
      <c r="Z32" t="s">
        <v>297</v>
      </c>
      <c r="AA32" t="s">
        <v>410</v>
      </c>
      <c r="AB32" s="1">
        <v>44941</v>
      </c>
      <c r="AC32" s="3">
        <v>956.39</v>
      </c>
      <c r="AD32" t="s">
        <v>317</v>
      </c>
      <c r="AE32" t="s">
        <v>352</v>
      </c>
    </row>
    <row r="33" spans="1:31" x14ac:dyDescent="0.3">
      <c r="A33" t="s">
        <v>72</v>
      </c>
      <c r="B33" t="s">
        <v>10</v>
      </c>
      <c r="C33" t="s">
        <v>67</v>
      </c>
      <c r="D33" s="1">
        <v>45236</v>
      </c>
      <c r="E33" s="2">
        <v>0.44791666666666669</v>
      </c>
      <c r="F33" t="s">
        <v>22</v>
      </c>
      <c r="G33" t="s">
        <v>4</v>
      </c>
      <c r="H33" t="s">
        <v>377</v>
      </c>
      <c r="I33" t="s">
        <v>354</v>
      </c>
      <c r="J33" s="3">
        <v>3690.71</v>
      </c>
      <c r="K33" s="1">
        <v>45236</v>
      </c>
      <c r="L33" t="s">
        <v>365</v>
      </c>
      <c r="M33" t="s">
        <v>366</v>
      </c>
      <c r="N33" t="s">
        <v>356</v>
      </c>
      <c r="O33" s="1">
        <v>30399</v>
      </c>
      <c r="P33">
        <v>8720989381</v>
      </c>
      <c r="Q33" t="s">
        <v>357</v>
      </c>
      <c r="R33">
        <v>45096</v>
      </c>
      <c r="S33" t="s">
        <v>367</v>
      </c>
      <c r="T33" t="s">
        <v>368</v>
      </c>
      <c r="U33" t="s">
        <v>350</v>
      </c>
      <c r="V33" t="s">
        <v>391</v>
      </c>
      <c r="W33" t="s">
        <v>308</v>
      </c>
      <c r="X33">
        <v>9118538547</v>
      </c>
      <c r="Y33">
        <v>26</v>
      </c>
      <c r="Z33" t="s">
        <v>297</v>
      </c>
      <c r="AA33" t="s">
        <v>369</v>
      </c>
      <c r="AB33" s="1">
        <v>45105</v>
      </c>
      <c r="AC33" s="3">
        <v>3731.55</v>
      </c>
      <c r="AD33" t="s">
        <v>317</v>
      </c>
      <c r="AE33" t="s">
        <v>363</v>
      </c>
    </row>
    <row r="34" spans="1:31" x14ac:dyDescent="0.3">
      <c r="A34" t="s">
        <v>73</v>
      </c>
      <c r="B34" t="s">
        <v>74</v>
      </c>
      <c r="C34" t="s">
        <v>67</v>
      </c>
      <c r="D34" s="1">
        <v>45192</v>
      </c>
      <c r="E34" s="2">
        <v>0.73958333333333337</v>
      </c>
      <c r="F34" t="s">
        <v>3</v>
      </c>
      <c r="G34" t="s">
        <v>8</v>
      </c>
      <c r="H34" t="s">
        <v>389</v>
      </c>
      <c r="I34" t="s">
        <v>364</v>
      </c>
      <c r="J34" s="3">
        <v>980.95</v>
      </c>
      <c r="K34" s="1">
        <v>45192</v>
      </c>
      <c r="L34" t="s">
        <v>390</v>
      </c>
      <c r="M34" t="s">
        <v>371</v>
      </c>
      <c r="N34" t="s">
        <v>356</v>
      </c>
      <c r="O34" s="1">
        <v>37316</v>
      </c>
      <c r="P34">
        <v>7765390555</v>
      </c>
      <c r="Q34" t="s">
        <v>347</v>
      </c>
      <c r="R34">
        <v>44580</v>
      </c>
      <c r="S34" t="s">
        <v>348</v>
      </c>
      <c r="T34" t="s">
        <v>426</v>
      </c>
      <c r="U34" t="s">
        <v>350</v>
      </c>
      <c r="V34" t="s">
        <v>391</v>
      </c>
      <c r="W34" t="s">
        <v>308</v>
      </c>
      <c r="X34">
        <v>9118538547</v>
      </c>
      <c r="Y34">
        <v>26</v>
      </c>
      <c r="Z34" t="s">
        <v>297</v>
      </c>
      <c r="AA34" t="s">
        <v>427</v>
      </c>
      <c r="AB34" s="1">
        <v>45192</v>
      </c>
      <c r="AC34" s="3">
        <v>980.95</v>
      </c>
      <c r="AD34" t="s">
        <v>316</v>
      </c>
      <c r="AE34" t="s">
        <v>363</v>
      </c>
    </row>
    <row r="35" spans="1:31" x14ac:dyDescent="0.3">
      <c r="A35" t="s">
        <v>75</v>
      </c>
      <c r="B35" t="s">
        <v>30</v>
      </c>
      <c r="C35" t="s">
        <v>7</v>
      </c>
      <c r="D35" s="1">
        <v>45090</v>
      </c>
      <c r="E35" s="2">
        <v>0.47916666666666669</v>
      </c>
      <c r="F35" t="s">
        <v>11</v>
      </c>
      <c r="G35" t="s">
        <v>8</v>
      </c>
      <c r="H35" t="s">
        <v>389</v>
      </c>
      <c r="I35" t="s">
        <v>343</v>
      </c>
      <c r="J35" s="3">
        <v>3052.9</v>
      </c>
      <c r="K35" s="1">
        <v>45090</v>
      </c>
      <c r="L35" t="s">
        <v>381</v>
      </c>
      <c r="M35" t="s">
        <v>371</v>
      </c>
      <c r="N35" t="s">
        <v>346</v>
      </c>
      <c r="O35" s="1">
        <v>18609</v>
      </c>
      <c r="P35">
        <v>9271131338</v>
      </c>
      <c r="Q35" t="s">
        <v>386</v>
      </c>
      <c r="R35">
        <v>44264</v>
      </c>
      <c r="S35" t="s">
        <v>367</v>
      </c>
      <c r="T35" t="s">
        <v>394</v>
      </c>
      <c r="U35" t="s">
        <v>360</v>
      </c>
      <c r="V35" t="s">
        <v>361</v>
      </c>
      <c r="W35" t="s">
        <v>310</v>
      </c>
      <c r="X35">
        <v>6594221991</v>
      </c>
      <c r="Y35">
        <v>28</v>
      </c>
      <c r="Z35" t="s">
        <v>297</v>
      </c>
      <c r="AA35" t="s">
        <v>395</v>
      </c>
      <c r="AB35" s="1">
        <v>44990</v>
      </c>
      <c r="AC35" s="3">
        <v>4541.1400000000003</v>
      </c>
      <c r="AD35" t="s">
        <v>316</v>
      </c>
      <c r="AE35" t="s">
        <v>363</v>
      </c>
    </row>
    <row r="36" spans="1:31" x14ac:dyDescent="0.3">
      <c r="A36" t="s">
        <v>76</v>
      </c>
      <c r="B36" t="s">
        <v>77</v>
      </c>
      <c r="C36" t="s">
        <v>18</v>
      </c>
      <c r="D36" s="1">
        <v>45034</v>
      </c>
      <c r="E36" s="2">
        <v>0.36458333333333331</v>
      </c>
      <c r="F36" t="s">
        <v>31</v>
      </c>
      <c r="G36" t="s">
        <v>4</v>
      </c>
      <c r="H36" t="s">
        <v>353</v>
      </c>
      <c r="I36" t="s">
        <v>364</v>
      </c>
      <c r="J36" s="3">
        <v>1654.53</v>
      </c>
      <c r="K36" s="1">
        <v>45034</v>
      </c>
      <c r="L36" t="s">
        <v>390</v>
      </c>
      <c r="M36" t="s">
        <v>371</v>
      </c>
      <c r="N36" t="s">
        <v>356</v>
      </c>
      <c r="O36" s="1">
        <v>35790</v>
      </c>
      <c r="P36">
        <v>8545613046</v>
      </c>
      <c r="Q36" t="s">
        <v>357</v>
      </c>
      <c r="R36">
        <v>44838</v>
      </c>
      <c r="S36" t="s">
        <v>358</v>
      </c>
      <c r="T36" t="s">
        <v>428</v>
      </c>
      <c r="U36" t="s">
        <v>381</v>
      </c>
      <c r="V36" t="s">
        <v>345</v>
      </c>
      <c r="W36" t="s">
        <v>310</v>
      </c>
      <c r="X36">
        <v>8737740598</v>
      </c>
      <c r="Y36">
        <v>19</v>
      </c>
      <c r="Z36" t="s">
        <v>298</v>
      </c>
      <c r="AA36" t="s">
        <v>429</v>
      </c>
      <c r="AB36" s="1">
        <v>45034</v>
      </c>
      <c r="AC36" s="3">
        <v>1654.53</v>
      </c>
      <c r="AD36" t="s">
        <v>317</v>
      </c>
      <c r="AE36" t="s">
        <v>376</v>
      </c>
    </row>
    <row r="37" spans="1:31" x14ac:dyDescent="0.3">
      <c r="A37" t="s">
        <v>78</v>
      </c>
      <c r="B37" t="s">
        <v>79</v>
      </c>
      <c r="C37" t="s">
        <v>18</v>
      </c>
      <c r="D37" s="1">
        <v>44934</v>
      </c>
      <c r="E37" s="2">
        <v>0.60416666666666663</v>
      </c>
      <c r="F37" t="s">
        <v>22</v>
      </c>
      <c r="G37" t="s">
        <v>8</v>
      </c>
      <c r="H37" t="s">
        <v>413</v>
      </c>
      <c r="I37" t="s">
        <v>343</v>
      </c>
      <c r="J37" s="3">
        <v>4833.17</v>
      </c>
      <c r="K37" s="1">
        <v>44934</v>
      </c>
      <c r="L37" t="s">
        <v>390</v>
      </c>
      <c r="M37" t="s">
        <v>371</v>
      </c>
      <c r="N37" t="s">
        <v>346</v>
      </c>
      <c r="O37" s="1">
        <v>25605</v>
      </c>
      <c r="P37">
        <v>7923214041</v>
      </c>
      <c r="Q37" t="s">
        <v>386</v>
      </c>
      <c r="R37">
        <v>45175</v>
      </c>
      <c r="S37" t="s">
        <v>358</v>
      </c>
      <c r="T37" t="s">
        <v>430</v>
      </c>
      <c r="U37" t="s">
        <v>381</v>
      </c>
      <c r="V37" t="s">
        <v>345</v>
      </c>
      <c r="W37" t="s">
        <v>310</v>
      </c>
      <c r="X37">
        <v>8737740598</v>
      </c>
      <c r="Y37">
        <v>19</v>
      </c>
      <c r="Z37" t="s">
        <v>298</v>
      </c>
      <c r="AA37" t="s">
        <v>431</v>
      </c>
      <c r="AB37" s="1">
        <v>44934</v>
      </c>
      <c r="AC37" s="3">
        <v>4833.17</v>
      </c>
      <c r="AD37" t="s">
        <v>311</v>
      </c>
      <c r="AE37" t="s">
        <v>352</v>
      </c>
    </row>
    <row r="38" spans="1:31" x14ac:dyDescent="0.3">
      <c r="A38" t="s">
        <v>80</v>
      </c>
      <c r="B38" t="s">
        <v>63</v>
      </c>
      <c r="C38" t="s">
        <v>7</v>
      </c>
      <c r="D38" s="1">
        <v>45013</v>
      </c>
      <c r="E38" s="2">
        <v>0.45833333333333331</v>
      </c>
      <c r="F38" t="s">
        <v>11</v>
      </c>
      <c r="G38" t="s">
        <v>4</v>
      </c>
      <c r="H38" t="s">
        <v>342</v>
      </c>
      <c r="I38" t="s">
        <v>364</v>
      </c>
      <c r="J38" s="3">
        <v>2675.96</v>
      </c>
      <c r="K38" s="1">
        <v>45013</v>
      </c>
      <c r="L38" t="s">
        <v>365</v>
      </c>
      <c r="M38" t="s">
        <v>355</v>
      </c>
      <c r="N38" t="s">
        <v>356</v>
      </c>
      <c r="O38" s="1">
        <v>23734</v>
      </c>
      <c r="P38">
        <v>6622318721</v>
      </c>
      <c r="Q38" t="s">
        <v>379</v>
      </c>
      <c r="R38">
        <v>44415</v>
      </c>
      <c r="S38" t="s">
        <v>367</v>
      </c>
      <c r="T38" t="s">
        <v>422</v>
      </c>
      <c r="U38" t="s">
        <v>360</v>
      </c>
      <c r="V38" t="s">
        <v>361</v>
      </c>
      <c r="W38" t="s">
        <v>310</v>
      </c>
      <c r="X38">
        <v>6594221991</v>
      </c>
      <c r="Y38">
        <v>28</v>
      </c>
      <c r="Z38" t="s">
        <v>297</v>
      </c>
      <c r="AA38" t="s">
        <v>423</v>
      </c>
      <c r="AB38" s="1">
        <v>44982</v>
      </c>
      <c r="AC38" s="3">
        <v>1726.81</v>
      </c>
      <c r="AD38" t="s">
        <v>311</v>
      </c>
      <c r="AE38" t="s">
        <v>376</v>
      </c>
    </row>
    <row r="39" spans="1:31" x14ac:dyDescent="0.3">
      <c r="A39" t="s">
        <v>81</v>
      </c>
      <c r="B39" t="s">
        <v>49</v>
      </c>
      <c r="C39" t="s">
        <v>2</v>
      </c>
      <c r="D39" s="1">
        <v>44980</v>
      </c>
      <c r="E39" s="2">
        <v>0.54166666666666663</v>
      </c>
      <c r="F39" t="s">
        <v>11</v>
      </c>
      <c r="G39" t="s">
        <v>4</v>
      </c>
      <c r="H39" t="s">
        <v>353</v>
      </c>
      <c r="I39" t="s">
        <v>364</v>
      </c>
      <c r="J39" s="3">
        <v>4126.97</v>
      </c>
      <c r="K39" s="1">
        <v>44980</v>
      </c>
      <c r="L39" t="s">
        <v>370</v>
      </c>
      <c r="M39" t="s">
        <v>378</v>
      </c>
      <c r="N39" t="s">
        <v>356</v>
      </c>
      <c r="O39" s="1">
        <v>36196</v>
      </c>
      <c r="P39">
        <v>8886800195</v>
      </c>
      <c r="Q39" t="s">
        <v>379</v>
      </c>
      <c r="R39">
        <v>44469</v>
      </c>
      <c r="S39" t="s">
        <v>372</v>
      </c>
      <c r="T39" t="s">
        <v>411</v>
      </c>
      <c r="U39" t="s">
        <v>350</v>
      </c>
      <c r="V39" t="s">
        <v>345</v>
      </c>
      <c r="W39" t="s">
        <v>310</v>
      </c>
      <c r="X39">
        <v>7387087517</v>
      </c>
      <c r="Y39">
        <v>26</v>
      </c>
      <c r="Z39" t="s">
        <v>297</v>
      </c>
      <c r="AA39" t="s">
        <v>412</v>
      </c>
      <c r="AB39" s="1">
        <v>45118</v>
      </c>
      <c r="AC39" s="3">
        <v>1655.49</v>
      </c>
      <c r="AD39" t="s">
        <v>316</v>
      </c>
      <c r="AE39" t="s">
        <v>352</v>
      </c>
    </row>
    <row r="40" spans="1:31" x14ac:dyDescent="0.3">
      <c r="A40" t="s">
        <v>82</v>
      </c>
      <c r="B40" t="s">
        <v>83</v>
      </c>
      <c r="C40" t="s">
        <v>41</v>
      </c>
      <c r="D40" s="1">
        <v>45033</v>
      </c>
      <c r="E40" s="2">
        <v>0.33333333333333331</v>
      </c>
      <c r="F40" t="s">
        <v>31</v>
      </c>
      <c r="G40" t="s">
        <v>4</v>
      </c>
      <c r="H40" t="s">
        <v>389</v>
      </c>
      <c r="I40" t="s">
        <v>364</v>
      </c>
      <c r="J40" s="3">
        <v>2976.02</v>
      </c>
      <c r="K40" s="1">
        <v>45033</v>
      </c>
      <c r="L40" t="s">
        <v>383</v>
      </c>
      <c r="M40" t="s">
        <v>432</v>
      </c>
      <c r="N40" t="s">
        <v>356</v>
      </c>
      <c r="O40" s="1">
        <v>34387</v>
      </c>
      <c r="P40">
        <v>6141951830</v>
      </c>
      <c r="Q40" t="s">
        <v>386</v>
      </c>
      <c r="R40">
        <v>44557</v>
      </c>
      <c r="S40" t="s">
        <v>348</v>
      </c>
      <c r="T40" t="s">
        <v>433</v>
      </c>
      <c r="U40" t="s">
        <v>381</v>
      </c>
      <c r="V40" t="s">
        <v>374</v>
      </c>
      <c r="W40" t="s">
        <v>310</v>
      </c>
      <c r="X40">
        <v>9004382050</v>
      </c>
      <c r="Y40">
        <v>24</v>
      </c>
      <c r="Z40" t="s">
        <v>298</v>
      </c>
      <c r="AA40" t="s">
        <v>434</v>
      </c>
      <c r="AB40" s="1">
        <v>45033</v>
      </c>
      <c r="AC40" s="3">
        <v>2976.02</v>
      </c>
      <c r="AD40" t="s">
        <v>317</v>
      </c>
      <c r="AE40" t="s">
        <v>376</v>
      </c>
    </row>
    <row r="41" spans="1:31" x14ac:dyDescent="0.3">
      <c r="A41" t="s">
        <v>84</v>
      </c>
      <c r="B41" t="s">
        <v>85</v>
      </c>
      <c r="C41" t="s">
        <v>2</v>
      </c>
      <c r="D41" s="1">
        <v>45012</v>
      </c>
      <c r="E41" s="2">
        <v>0.52083333333333337</v>
      </c>
      <c r="F41" t="s">
        <v>3</v>
      </c>
      <c r="G41" t="s">
        <v>34</v>
      </c>
      <c r="H41" t="s">
        <v>342</v>
      </c>
      <c r="I41" t="s">
        <v>364</v>
      </c>
      <c r="J41" s="3">
        <v>695.36</v>
      </c>
      <c r="K41" s="1">
        <v>45012</v>
      </c>
      <c r="L41" t="s">
        <v>390</v>
      </c>
      <c r="M41" t="s">
        <v>391</v>
      </c>
      <c r="N41" t="s">
        <v>356</v>
      </c>
      <c r="O41" s="1">
        <v>37177</v>
      </c>
      <c r="P41">
        <v>7081396733</v>
      </c>
      <c r="Q41" t="s">
        <v>357</v>
      </c>
      <c r="R41">
        <v>44797</v>
      </c>
      <c r="S41" t="s">
        <v>348</v>
      </c>
      <c r="T41" t="s">
        <v>435</v>
      </c>
      <c r="U41" t="s">
        <v>350</v>
      </c>
      <c r="V41" t="s">
        <v>345</v>
      </c>
      <c r="W41" t="s">
        <v>310</v>
      </c>
      <c r="X41">
        <v>7387087517</v>
      </c>
      <c r="Y41">
        <v>26</v>
      </c>
      <c r="Z41" t="s">
        <v>297</v>
      </c>
      <c r="AA41" t="s">
        <v>436</v>
      </c>
      <c r="AB41" s="1">
        <v>45012</v>
      </c>
      <c r="AC41" s="3">
        <v>695.36</v>
      </c>
      <c r="AD41" t="s">
        <v>311</v>
      </c>
      <c r="AE41" t="s">
        <v>376</v>
      </c>
    </row>
    <row r="42" spans="1:31" x14ac:dyDescent="0.3">
      <c r="A42" t="s">
        <v>86</v>
      </c>
      <c r="B42" t="s">
        <v>33</v>
      </c>
      <c r="C42" t="s">
        <v>52</v>
      </c>
      <c r="D42" s="1">
        <v>44927</v>
      </c>
      <c r="E42" s="2">
        <v>0.58333333333333337</v>
      </c>
      <c r="F42" t="s">
        <v>19</v>
      </c>
      <c r="G42" t="s">
        <v>8</v>
      </c>
      <c r="H42" t="s">
        <v>389</v>
      </c>
      <c r="I42" t="s">
        <v>343</v>
      </c>
      <c r="J42" s="3">
        <v>3349.18</v>
      </c>
      <c r="K42" s="1">
        <v>44927</v>
      </c>
      <c r="L42" t="s">
        <v>360</v>
      </c>
      <c r="M42" t="s">
        <v>371</v>
      </c>
      <c r="N42" t="s">
        <v>356</v>
      </c>
      <c r="O42" s="1">
        <v>22090</v>
      </c>
      <c r="P42">
        <v>7734463155</v>
      </c>
      <c r="Q42" t="s">
        <v>357</v>
      </c>
      <c r="R42">
        <v>44468</v>
      </c>
      <c r="S42" t="s">
        <v>358</v>
      </c>
      <c r="T42" t="s">
        <v>396</v>
      </c>
      <c r="U42" t="s">
        <v>360</v>
      </c>
      <c r="V42" t="s">
        <v>391</v>
      </c>
      <c r="W42" t="s">
        <v>308</v>
      </c>
      <c r="X42">
        <v>8322010158</v>
      </c>
      <c r="Y42">
        <v>17</v>
      </c>
      <c r="Z42" t="s">
        <v>299</v>
      </c>
      <c r="AA42" t="s">
        <v>397</v>
      </c>
      <c r="AB42" s="1">
        <v>44939</v>
      </c>
      <c r="AC42" s="3">
        <v>1595.67</v>
      </c>
      <c r="AD42" t="s">
        <v>311</v>
      </c>
      <c r="AE42" t="s">
        <v>363</v>
      </c>
    </row>
    <row r="43" spans="1:31" x14ac:dyDescent="0.3">
      <c r="A43" t="s">
        <v>87</v>
      </c>
      <c r="B43" t="s">
        <v>77</v>
      </c>
      <c r="C43" t="s">
        <v>52</v>
      </c>
      <c r="D43" s="1">
        <v>45006</v>
      </c>
      <c r="E43" s="2">
        <v>0.46875</v>
      </c>
      <c r="F43" t="s">
        <v>19</v>
      </c>
      <c r="G43" t="s">
        <v>4</v>
      </c>
      <c r="H43" t="s">
        <v>342</v>
      </c>
      <c r="I43" t="s">
        <v>343</v>
      </c>
      <c r="J43" s="3">
        <v>4781.32</v>
      </c>
      <c r="K43" s="1">
        <v>45006</v>
      </c>
      <c r="L43" t="s">
        <v>390</v>
      </c>
      <c r="M43" t="s">
        <v>371</v>
      </c>
      <c r="N43" t="s">
        <v>356</v>
      </c>
      <c r="O43" s="1">
        <v>35790</v>
      </c>
      <c r="P43">
        <v>8545613046</v>
      </c>
      <c r="Q43" t="s">
        <v>357</v>
      </c>
      <c r="R43">
        <v>44838</v>
      </c>
      <c r="S43" t="s">
        <v>358</v>
      </c>
      <c r="T43" t="s">
        <v>428</v>
      </c>
      <c r="U43" t="s">
        <v>360</v>
      </c>
      <c r="V43" t="s">
        <v>391</v>
      </c>
      <c r="W43" t="s">
        <v>308</v>
      </c>
      <c r="X43">
        <v>8322010158</v>
      </c>
      <c r="Y43">
        <v>17</v>
      </c>
      <c r="Z43" t="s">
        <v>299</v>
      </c>
      <c r="AA43" t="s">
        <v>429</v>
      </c>
      <c r="AB43" s="1">
        <v>45034</v>
      </c>
      <c r="AC43" s="3">
        <v>1654.53</v>
      </c>
      <c r="AD43" t="s">
        <v>317</v>
      </c>
      <c r="AE43" t="s">
        <v>376</v>
      </c>
    </row>
    <row r="44" spans="1:31" x14ac:dyDescent="0.3">
      <c r="A44" t="s">
        <v>88</v>
      </c>
      <c r="B44" t="s">
        <v>1</v>
      </c>
      <c r="C44" t="s">
        <v>67</v>
      </c>
      <c r="D44" s="1">
        <v>45014</v>
      </c>
      <c r="E44" s="2">
        <v>0.38541666666666669</v>
      </c>
      <c r="F44" t="s">
        <v>11</v>
      </c>
      <c r="G44" t="s">
        <v>8</v>
      </c>
      <c r="H44" t="s">
        <v>413</v>
      </c>
      <c r="I44" t="s">
        <v>354</v>
      </c>
      <c r="J44" s="3">
        <v>3207.25</v>
      </c>
      <c r="K44" s="1">
        <v>45014</v>
      </c>
      <c r="L44" t="s">
        <v>344</v>
      </c>
      <c r="M44" t="s">
        <v>345</v>
      </c>
      <c r="N44" t="s">
        <v>346</v>
      </c>
      <c r="O44" s="1">
        <v>18289</v>
      </c>
      <c r="P44">
        <v>8374657733</v>
      </c>
      <c r="Q44" t="s">
        <v>347</v>
      </c>
      <c r="R44">
        <v>45095</v>
      </c>
      <c r="S44" t="s">
        <v>348</v>
      </c>
      <c r="T44" t="s">
        <v>349</v>
      </c>
      <c r="U44" t="s">
        <v>350</v>
      </c>
      <c r="V44" t="s">
        <v>391</v>
      </c>
      <c r="W44" t="s">
        <v>308</v>
      </c>
      <c r="X44">
        <v>9118538547</v>
      </c>
      <c r="Y44">
        <v>26</v>
      </c>
      <c r="Z44" t="s">
        <v>297</v>
      </c>
      <c r="AA44" t="s">
        <v>351</v>
      </c>
      <c r="AB44" s="1">
        <v>45147</v>
      </c>
      <c r="AC44" s="3">
        <v>3941.97</v>
      </c>
      <c r="AD44" t="s">
        <v>317</v>
      </c>
      <c r="AE44" t="s">
        <v>352</v>
      </c>
    </row>
    <row r="45" spans="1:31" x14ac:dyDescent="0.3">
      <c r="A45" t="s">
        <v>89</v>
      </c>
      <c r="B45" t="s">
        <v>90</v>
      </c>
      <c r="C45" t="s">
        <v>15</v>
      </c>
      <c r="D45" s="1">
        <v>45189</v>
      </c>
      <c r="E45" s="2">
        <v>0.52083333333333337</v>
      </c>
      <c r="F45" t="s">
        <v>31</v>
      </c>
      <c r="G45" t="s">
        <v>34</v>
      </c>
      <c r="H45" t="s">
        <v>353</v>
      </c>
      <c r="I45" t="s">
        <v>343</v>
      </c>
      <c r="J45" s="3">
        <v>4186.3500000000004</v>
      </c>
      <c r="K45" s="1">
        <v>45189</v>
      </c>
      <c r="L45" t="s">
        <v>370</v>
      </c>
      <c r="M45" t="s">
        <v>366</v>
      </c>
      <c r="N45" t="s">
        <v>356</v>
      </c>
      <c r="O45" s="1">
        <v>31791</v>
      </c>
      <c r="P45">
        <v>8280346676</v>
      </c>
      <c r="Q45" t="s">
        <v>347</v>
      </c>
      <c r="R45">
        <v>44740</v>
      </c>
      <c r="S45" t="s">
        <v>348</v>
      </c>
      <c r="T45" t="s">
        <v>437</v>
      </c>
      <c r="U45" t="s">
        <v>344</v>
      </c>
      <c r="V45" t="s">
        <v>374</v>
      </c>
      <c r="W45" t="s">
        <v>310</v>
      </c>
      <c r="X45">
        <v>6570137231</v>
      </c>
      <c r="Y45">
        <v>23</v>
      </c>
      <c r="Z45" t="s">
        <v>297</v>
      </c>
      <c r="AA45" t="s">
        <v>438</v>
      </c>
      <c r="AB45" s="1">
        <v>45189</v>
      </c>
      <c r="AC45" s="3">
        <v>4186.3500000000004</v>
      </c>
      <c r="AD45" t="s">
        <v>317</v>
      </c>
      <c r="AE45" t="s">
        <v>363</v>
      </c>
    </row>
    <row r="46" spans="1:31" x14ac:dyDescent="0.3">
      <c r="A46" t="s">
        <v>91</v>
      </c>
      <c r="B46" t="s">
        <v>85</v>
      </c>
      <c r="C46" t="s">
        <v>15</v>
      </c>
      <c r="D46" s="1">
        <v>45197</v>
      </c>
      <c r="E46" s="2">
        <v>0.70833333333333337</v>
      </c>
      <c r="F46" t="s">
        <v>19</v>
      </c>
      <c r="G46" t="s">
        <v>4</v>
      </c>
      <c r="H46" t="s">
        <v>342</v>
      </c>
      <c r="I46" t="s">
        <v>364</v>
      </c>
      <c r="J46" s="3">
        <v>4478.93</v>
      </c>
      <c r="K46" s="1">
        <v>45197</v>
      </c>
      <c r="L46" t="s">
        <v>390</v>
      </c>
      <c r="M46" t="s">
        <v>391</v>
      </c>
      <c r="N46" t="s">
        <v>356</v>
      </c>
      <c r="O46" s="1">
        <v>37177</v>
      </c>
      <c r="P46">
        <v>7081396733</v>
      </c>
      <c r="Q46" t="s">
        <v>357</v>
      </c>
      <c r="R46">
        <v>44797</v>
      </c>
      <c r="S46" t="s">
        <v>348</v>
      </c>
      <c r="T46" t="s">
        <v>435</v>
      </c>
      <c r="U46" t="s">
        <v>344</v>
      </c>
      <c r="V46" t="s">
        <v>374</v>
      </c>
      <c r="W46" t="s">
        <v>310</v>
      </c>
      <c r="X46">
        <v>6570137231</v>
      </c>
      <c r="Y46">
        <v>23</v>
      </c>
      <c r="Z46" t="s">
        <v>297</v>
      </c>
      <c r="AA46" t="s">
        <v>436</v>
      </c>
      <c r="AB46" s="1">
        <v>45012</v>
      </c>
      <c r="AC46" s="3">
        <v>695.36</v>
      </c>
      <c r="AD46" t="s">
        <v>311</v>
      </c>
      <c r="AE46" t="s">
        <v>376</v>
      </c>
    </row>
    <row r="47" spans="1:31" x14ac:dyDescent="0.3">
      <c r="A47" t="s">
        <v>92</v>
      </c>
      <c r="B47" t="s">
        <v>93</v>
      </c>
      <c r="C47" t="s">
        <v>18</v>
      </c>
      <c r="D47" s="1">
        <v>45280</v>
      </c>
      <c r="E47" s="2">
        <v>0.55208333333333337</v>
      </c>
      <c r="F47" t="s">
        <v>11</v>
      </c>
      <c r="G47" t="s">
        <v>12</v>
      </c>
      <c r="H47" t="s">
        <v>377</v>
      </c>
      <c r="I47" t="s">
        <v>354</v>
      </c>
      <c r="J47" s="3">
        <v>1526.36</v>
      </c>
      <c r="K47" s="1">
        <v>45280</v>
      </c>
      <c r="L47" t="s">
        <v>350</v>
      </c>
      <c r="M47" t="s">
        <v>366</v>
      </c>
      <c r="N47" t="s">
        <v>356</v>
      </c>
      <c r="O47" s="1">
        <v>27538</v>
      </c>
      <c r="P47">
        <v>8618058864</v>
      </c>
      <c r="Q47" t="s">
        <v>386</v>
      </c>
      <c r="R47">
        <v>45101</v>
      </c>
      <c r="S47" t="s">
        <v>348</v>
      </c>
      <c r="T47" t="s">
        <v>439</v>
      </c>
      <c r="U47" t="s">
        <v>381</v>
      </c>
      <c r="V47" t="s">
        <v>345</v>
      </c>
      <c r="W47" t="s">
        <v>310</v>
      </c>
      <c r="X47">
        <v>8737740598</v>
      </c>
      <c r="Y47">
        <v>19</v>
      </c>
      <c r="Z47" t="s">
        <v>298</v>
      </c>
      <c r="AA47" t="s">
        <v>440</v>
      </c>
      <c r="AB47" s="1">
        <v>45280</v>
      </c>
      <c r="AC47" s="3">
        <v>1526.36</v>
      </c>
      <c r="AD47" t="s">
        <v>311</v>
      </c>
      <c r="AE47" t="s">
        <v>363</v>
      </c>
    </row>
    <row r="48" spans="1:31" x14ac:dyDescent="0.3">
      <c r="A48" t="s">
        <v>94</v>
      </c>
      <c r="B48" t="s">
        <v>6</v>
      </c>
      <c r="C48" t="s">
        <v>25</v>
      </c>
      <c r="D48" s="1">
        <v>45048</v>
      </c>
      <c r="E48" s="2">
        <v>0.45833333333333331</v>
      </c>
      <c r="F48" t="s">
        <v>3</v>
      </c>
      <c r="G48" t="s">
        <v>34</v>
      </c>
      <c r="H48" t="s">
        <v>377</v>
      </c>
      <c r="I48" t="s">
        <v>354</v>
      </c>
      <c r="J48" s="3">
        <v>1454.2</v>
      </c>
      <c r="K48" s="1">
        <v>45048</v>
      </c>
      <c r="L48" t="s">
        <v>344</v>
      </c>
      <c r="M48" t="s">
        <v>355</v>
      </c>
      <c r="N48" t="s">
        <v>356</v>
      </c>
      <c r="O48" s="1">
        <v>29594</v>
      </c>
      <c r="P48">
        <v>8102183595</v>
      </c>
      <c r="Q48" t="s">
        <v>357</v>
      </c>
      <c r="R48">
        <v>44471</v>
      </c>
      <c r="S48" t="s">
        <v>358</v>
      </c>
      <c r="T48" t="s">
        <v>359</v>
      </c>
      <c r="U48" t="s">
        <v>370</v>
      </c>
      <c r="V48" t="s">
        <v>374</v>
      </c>
      <c r="W48" t="s">
        <v>309</v>
      </c>
      <c r="X48">
        <v>8217493115</v>
      </c>
      <c r="Y48">
        <v>26</v>
      </c>
      <c r="Z48" t="s">
        <v>299</v>
      </c>
      <c r="AA48" t="s">
        <v>362</v>
      </c>
      <c r="AB48" s="1">
        <v>45086</v>
      </c>
      <c r="AC48" s="3">
        <v>4158.4399999999996</v>
      </c>
      <c r="AD48" t="s">
        <v>317</v>
      </c>
      <c r="AE48" t="s">
        <v>363</v>
      </c>
    </row>
    <row r="49" spans="1:31" x14ac:dyDescent="0.3">
      <c r="A49" t="s">
        <v>95</v>
      </c>
      <c r="B49" t="s">
        <v>24</v>
      </c>
      <c r="C49" t="s">
        <v>2</v>
      </c>
      <c r="D49" s="1">
        <v>44942</v>
      </c>
      <c r="E49" s="2">
        <v>0.65625</v>
      </c>
      <c r="F49" t="s">
        <v>19</v>
      </c>
      <c r="G49" t="s">
        <v>12</v>
      </c>
      <c r="H49" t="s">
        <v>342</v>
      </c>
      <c r="I49" t="s">
        <v>354</v>
      </c>
      <c r="J49" s="3">
        <v>3249.41</v>
      </c>
      <c r="K49" s="1">
        <v>44942</v>
      </c>
      <c r="L49" t="s">
        <v>360</v>
      </c>
      <c r="M49" t="s">
        <v>378</v>
      </c>
      <c r="N49" t="s">
        <v>346</v>
      </c>
      <c r="O49" s="1">
        <v>20244</v>
      </c>
      <c r="P49">
        <v>6939585183</v>
      </c>
      <c r="Q49" t="s">
        <v>386</v>
      </c>
      <c r="R49">
        <v>44735</v>
      </c>
      <c r="S49" t="s">
        <v>348</v>
      </c>
      <c r="T49" t="s">
        <v>387</v>
      </c>
      <c r="U49" t="s">
        <v>350</v>
      </c>
      <c r="V49" t="s">
        <v>345</v>
      </c>
      <c r="W49" t="s">
        <v>310</v>
      </c>
      <c r="X49">
        <v>7387087517</v>
      </c>
      <c r="Y49">
        <v>26</v>
      </c>
      <c r="Z49" t="s">
        <v>297</v>
      </c>
      <c r="AA49" t="s">
        <v>388</v>
      </c>
      <c r="AB49" s="1">
        <v>45025</v>
      </c>
      <c r="AC49" s="3">
        <v>534.03</v>
      </c>
      <c r="AD49" t="s">
        <v>311</v>
      </c>
      <c r="AE49" t="s">
        <v>376</v>
      </c>
    </row>
    <row r="50" spans="1:31" x14ac:dyDescent="0.3">
      <c r="A50" t="s">
        <v>96</v>
      </c>
      <c r="B50" t="s">
        <v>33</v>
      </c>
      <c r="C50" t="s">
        <v>28</v>
      </c>
      <c r="D50" s="1">
        <v>45046</v>
      </c>
      <c r="E50" s="2">
        <v>0.64583333333333337</v>
      </c>
      <c r="F50" t="s">
        <v>11</v>
      </c>
      <c r="G50" t="s">
        <v>8</v>
      </c>
      <c r="H50" t="s">
        <v>342</v>
      </c>
      <c r="I50" t="s">
        <v>364</v>
      </c>
      <c r="J50" s="3">
        <v>2349.63</v>
      </c>
      <c r="K50" s="1">
        <v>45046</v>
      </c>
      <c r="L50" t="s">
        <v>360</v>
      </c>
      <c r="M50" t="s">
        <v>371</v>
      </c>
      <c r="N50" t="s">
        <v>356</v>
      </c>
      <c r="O50" s="1">
        <v>22090</v>
      </c>
      <c r="P50">
        <v>7734463155</v>
      </c>
      <c r="Q50" t="s">
        <v>357</v>
      </c>
      <c r="R50">
        <v>44468</v>
      </c>
      <c r="S50" t="s">
        <v>358</v>
      </c>
      <c r="T50" t="s">
        <v>396</v>
      </c>
      <c r="U50" t="s">
        <v>383</v>
      </c>
      <c r="V50" t="s">
        <v>371</v>
      </c>
      <c r="W50" t="s">
        <v>309</v>
      </c>
      <c r="X50">
        <v>6176383634</v>
      </c>
      <c r="Y50">
        <v>21</v>
      </c>
      <c r="Z50" t="s">
        <v>298</v>
      </c>
      <c r="AA50" t="s">
        <v>397</v>
      </c>
      <c r="AB50" s="1">
        <v>44939</v>
      </c>
      <c r="AC50" s="3">
        <v>1595.67</v>
      </c>
      <c r="AD50" t="s">
        <v>311</v>
      </c>
      <c r="AE50" t="s">
        <v>363</v>
      </c>
    </row>
    <row r="51" spans="1:31" x14ac:dyDescent="0.3">
      <c r="A51" t="s">
        <v>97</v>
      </c>
      <c r="B51" t="s">
        <v>21</v>
      </c>
      <c r="C51" t="s">
        <v>47</v>
      </c>
      <c r="D51" s="1">
        <v>45154</v>
      </c>
      <c r="E51" s="2">
        <v>0.625</v>
      </c>
      <c r="F51" t="s">
        <v>11</v>
      </c>
      <c r="G51" t="s">
        <v>8</v>
      </c>
      <c r="H51" t="s">
        <v>342</v>
      </c>
      <c r="I51" t="s">
        <v>343</v>
      </c>
      <c r="J51" s="3">
        <v>4279.38</v>
      </c>
      <c r="K51" s="1">
        <v>45154</v>
      </c>
      <c r="L51" t="s">
        <v>383</v>
      </c>
      <c r="M51" t="s">
        <v>366</v>
      </c>
      <c r="N51" t="s">
        <v>346</v>
      </c>
      <c r="O51" s="1">
        <v>24222</v>
      </c>
      <c r="P51">
        <v>7579616535</v>
      </c>
      <c r="Q51" t="s">
        <v>347</v>
      </c>
      <c r="R51">
        <v>44219</v>
      </c>
      <c r="S51" t="s">
        <v>358</v>
      </c>
      <c r="T51" t="s">
        <v>384</v>
      </c>
      <c r="U51" t="s">
        <v>383</v>
      </c>
      <c r="V51" t="s">
        <v>399</v>
      </c>
      <c r="W51" t="s">
        <v>308</v>
      </c>
      <c r="X51">
        <v>9069162601</v>
      </c>
      <c r="Y51">
        <v>5</v>
      </c>
      <c r="Z51" t="s">
        <v>299</v>
      </c>
      <c r="AA51" t="s">
        <v>385</v>
      </c>
      <c r="AB51" s="1">
        <v>45096</v>
      </c>
      <c r="AC51" s="3">
        <v>1381</v>
      </c>
      <c r="AD51" t="s">
        <v>317</v>
      </c>
      <c r="AE51" t="s">
        <v>352</v>
      </c>
    </row>
    <row r="52" spans="1:31" x14ac:dyDescent="0.3">
      <c r="A52" t="s">
        <v>98</v>
      </c>
      <c r="B52" t="s">
        <v>99</v>
      </c>
      <c r="C52" t="s">
        <v>15</v>
      </c>
      <c r="D52" s="1">
        <v>44961</v>
      </c>
      <c r="E52" s="2">
        <v>0.48958333333333331</v>
      </c>
      <c r="F52" t="s">
        <v>22</v>
      </c>
      <c r="G52" t="s">
        <v>34</v>
      </c>
      <c r="H52" t="s">
        <v>377</v>
      </c>
      <c r="I52" t="s">
        <v>364</v>
      </c>
      <c r="J52" s="3">
        <v>4550.1000000000004</v>
      </c>
      <c r="K52" s="1">
        <v>44961</v>
      </c>
      <c r="L52" t="s">
        <v>390</v>
      </c>
      <c r="M52" t="s">
        <v>432</v>
      </c>
      <c r="N52" t="s">
        <v>346</v>
      </c>
      <c r="O52" s="1">
        <v>29637</v>
      </c>
      <c r="P52">
        <v>9019443432</v>
      </c>
      <c r="Q52" t="s">
        <v>357</v>
      </c>
      <c r="R52">
        <v>44257</v>
      </c>
      <c r="S52" t="s">
        <v>372</v>
      </c>
      <c r="T52" t="s">
        <v>441</v>
      </c>
      <c r="U52" t="s">
        <v>344</v>
      </c>
      <c r="V52" t="s">
        <v>374</v>
      </c>
      <c r="W52" t="s">
        <v>310</v>
      </c>
      <c r="X52">
        <v>6570137231</v>
      </c>
      <c r="Y52">
        <v>23</v>
      </c>
      <c r="Z52" t="s">
        <v>297</v>
      </c>
      <c r="AA52" t="s">
        <v>442</v>
      </c>
      <c r="AB52" s="1">
        <v>44961</v>
      </c>
      <c r="AC52" s="3">
        <v>4550.1000000000004</v>
      </c>
      <c r="AD52" t="s">
        <v>316</v>
      </c>
      <c r="AE52" t="s">
        <v>376</v>
      </c>
    </row>
    <row r="53" spans="1:31" x14ac:dyDescent="0.3">
      <c r="A53" t="s">
        <v>100</v>
      </c>
      <c r="B53" t="s">
        <v>27</v>
      </c>
      <c r="C53" t="s">
        <v>47</v>
      </c>
      <c r="D53" s="1">
        <v>45119</v>
      </c>
      <c r="E53" s="2">
        <v>0.39583333333333331</v>
      </c>
      <c r="F53" t="s">
        <v>3</v>
      </c>
      <c r="G53" t="s">
        <v>8</v>
      </c>
      <c r="H53" t="s">
        <v>377</v>
      </c>
      <c r="I53" t="s">
        <v>354</v>
      </c>
      <c r="J53" s="3">
        <v>2090.4</v>
      </c>
      <c r="K53" s="1">
        <v>45119</v>
      </c>
      <c r="L53" t="s">
        <v>390</v>
      </c>
      <c r="M53" t="s">
        <v>391</v>
      </c>
      <c r="N53" t="s">
        <v>356</v>
      </c>
      <c r="O53" s="1">
        <v>36729</v>
      </c>
      <c r="P53">
        <v>7223380592</v>
      </c>
      <c r="Q53" t="s">
        <v>386</v>
      </c>
      <c r="R53">
        <v>44400</v>
      </c>
      <c r="S53" t="s">
        <v>367</v>
      </c>
      <c r="T53" t="s">
        <v>392</v>
      </c>
      <c r="U53" t="s">
        <v>383</v>
      </c>
      <c r="V53" t="s">
        <v>399</v>
      </c>
      <c r="W53" t="s">
        <v>308</v>
      </c>
      <c r="X53">
        <v>9069162601</v>
      </c>
      <c r="Y53">
        <v>5</v>
      </c>
      <c r="Z53" t="s">
        <v>299</v>
      </c>
      <c r="AA53" t="s">
        <v>393</v>
      </c>
      <c r="AB53" s="1">
        <v>45070</v>
      </c>
      <c r="AC53" s="3">
        <v>3413.64</v>
      </c>
      <c r="AD53" t="s">
        <v>311</v>
      </c>
      <c r="AE53" t="s">
        <v>376</v>
      </c>
    </row>
    <row r="54" spans="1:31" x14ac:dyDescent="0.3">
      <c r="A54" t="s">
        <v>101</v>
      </c>
      <c r="B54" t="s">
        <v>102</v>
      </c>
      <c r="C54" t="s">
        <v>67</v>
      </c>
      <c r="D54" s="1">
        <v>44969</v>
      </c>
      <c r="E54" s="2">
        <v>0.4375</v>
      </c>
      <c r="F54" t="s">
        <v>22</v>
      </c>
      <c r="G54" t="s">
        <v>12</v>
      </c>
      <c r="H54" t="s">
        <v>342</v>
      </c>
      <c r="I54" t="s">
        <v>364</v>
      </c>
      <c r="J54" s="3">
        <v>1565.92</v>
      </c>
      <c r="K54" s="1">
        <v>44969</v>
      </c>
      <c r="L54" t="s">
        <v>350</v>
      </c>
      <c r="M54" t="s">
        <v>399</v>
      </c>
      <c r="N54" t="s">
        <v>346</v>
      </c>
      <c r="O54" s="1">
        <v>33546</v>
      </c>
      <c r="P54">
        <v>7196777444</v>
      </c>
      <c r="Q54" t="s">
        <v>347</v>
      </c>
      <c r="R54">
        <v>44441</v>
      </c>
      <c r="S54" t="s">
        <v>348</v>
      </c>
      <c r="T54" t="s">
        <v>443</v>
      </c>
      <c r="U54" t="s">
        <v>350</v>
      </c>
      <c r="V54" t="s">
        <v>391</v>
      </c>
      <c r="W54" t="s">
        <v>308</v>
      </c>
      <c r="X54">
        <v>9118538547</v>
      </c>
      <c r="Y54">
        <v>26</v>
      </c>
      <c r="Z54" t="s">
        <v>297</v>
      </c>
      <c r="AA54" t="s">
        <v>444</v>
      </c>
      <c r="AB54" s="1">
        <v>44969</v>
      </c>
      <c r="AC54" s="3">
        <v>1565.92</v>
      </c>
      <c r="AD54" t="s">
        <v>317</v>
      </c>
      <c r="AE54" t="s">
        <v>352</v>
      </c>
    </row>
    <row r="55" spans="1:31" x14ac:dyDescent="0.3">
      <c r="A55" t="s">
        <v>103</v>
      </c>
      <c r="B55" t="s">
        <v>27</v>
      </c>
      <c r="C55" t="s">
        <v>47</v>
      </c>
      <c r="D55" s="1">
        <v>45276</v>
      </c>
      <c r="E55" s="2">
        <v>0.48958333333333331</v>
      </c>
      <c r="F55" t="s">
        <v>31</v>
      </c>
      <c r="G55" t="s">
        <v>4</v>
      </c>
      <c r="H55" t="s">
        <v>389</v>
      </c>
      <c r="I55" t="s">
        <v>364</v>
      </c>
      <c r="J55" s="3">
        <v>4012.36</v>
      </c>
      <c r="K55" s="1">
        <v>45276</v>
      </c>
      <c r="L55" t="s">
        <v>390</v>
      </c>
      <c r="M55" t="s">
        <v>391</v>
      </c>
      <c r="N55" t="s">
        <v>356</v>
      </c>
      <c r="O55" s="1">
        <v>36729</v>
      </c>
      <c r="P55">
        <v>7223380592</v>
      </c>
      <c r="Q55" t="s">
        <v>386</v>
      </c>
      <c r="R55">
        <v>44400</v>
      </c>
      <c r="S55" t="s">
        <v>367</v>
      </c>
      <c r="T55" t="s">
        <v>392</v>
      </c>
      <c r="U55" t="s">
        <v>383</v>
      </c>
      <c r="V55" t="s">
        <v>399</v>
      </c>
      <c r="W55" t="s">
        <v>308</v>
      </c>
      <c r="X55">
        <v>9069162601</v>
      </c>
      <c r="Y55">
        <v>5</v>
      </c>
      <c r="Z55" t="s">
        <v>299</v>
      </c>
      <c r="AA55" t="s">
        <v>393</v>
      </c>
      <c r="AB55" s="1">
        <v>45070</v>
      </c>
      <c r="AC55" s="3">
        <v>3413.64</v>
      </c>
      <c r="AD55" t="s">
        <v>311</v>
      </c>
      <c r="AE55" t="s">
        <v>376</v>
      </c>
    </row>
    <row r="56" spans="1:31" x14ac:dyDescent="0.3">
      <c r="A56" t="s">
        <v>104</v>
      </c>
      <c r="B56" t="s">
        <v>105</v>
      </c>
      <c r="C56" t="s">
        <v>28</v>
      </c>
      <c r="D56" s="1">
        <v>45205</v>
      </c>
      <c r="E56" s="2">
        <v>0.72916666666666663</v>
      </c>
      <c r="F56" t="s">
        <v>22</v>
      </c>
      <c r="G56" t="s">
        <v>4</v>
      </c>
      <c r="H56" t="s">
        <v>389</v>
      </c>
      <c r="I56" t="s">
        <v>343</v>
      </c>
      <c r="J56" s="3">
        <v>1736.63</v>
      </c>
      <c r="K56" s="1">
        <v>45205</v>
      </c>
      <c r="L56" t="s">
        <v>365</v>
      </c>
      <c r="M56" t="s">
        <v>345</v>
      </c>
      <c r="N56" t="s">
        <v>346</v>
      </c>
      <c r="O56" s="1">
        <v>30967</v>
      </c>
      <c r="P56">
        <v>8228188767</v>
      </c>
      <c r="Q56" t="s">
        <v>347</v>
      </c>
      <c r="R56">
        <v>44576</v>
      </c>
      <c r="S56" t="s">
        <v>367</v>
      </c>
      <c r="T56" t="s">
        <v>445</v>
      </c>
      <c r="U56" t="s">
        <v>383</v>
      </c>
      <c r="V56" t="s">
        <v>371</v>
      </c>
      <c r="W56" t="s">
        <v>309</v>
      </c>
      <c r="X56">
        <v>6176383634</v>
      </c>
      <c r="Y56">
        <v>21</v>
      </c>
      <c r="Z56" t="s">
        <v>298</v>
      </c>
      <c r="AA56" t="s">
        <v>446</v>
      </c>
      <c r="AB56" s="1">
        <v>45205</v>
      </c>
      <c r="AC56" s="3">
        <v>1736.63</v>
      </c>
      <c r="AD56" t="s">
        <v>311</v>
      </c>
      <c r="AE56" t="s">
        <v>376</v>
      </c>
    </row>
    <row r="57" spans="1:31" x14ac:dyDescent="0.3">
      <c r="A57" t="s">
        <v>106</v>
      </c>
      <c r="B57" t="s">
        <v>61</v>
      </c>
      <c r="C57" t="s">
        <v>7</v>
      </c>
      <c r="D57" s="1">
        <v>44928</v>
      </c>
      <c r="E57" s="2">
        <v>0.53125</v>
      </c>
      <c r="F57" t="s">
        <v>22</v>
      </c>
      <c r="G57" t="s">
        <v>4</v>
      </c>
      <c r="H57" t="s">
        <v>413</v>
      </c>
      <c r="I57" t="s">
        <v>343</v>
      </c>
      <c r="J57" s="3">
        <v>4201.76</v>
      </c>
      <c r="K57" s="1">
        <v>44928</v>
      </c>
      <c r="L57" t="s">
        <v>360</v>
      </c>
      <c r="M57" t="s">
        <v>355</v>
      </c>
      <c r="N57" t="s">
        <v>356</v>
      </c>
      <c r="O57" s="1">
        <v>26629</v>
      </c>
      <c r="P57">
        <v>7712937941</v>
      </c>
      <c r="Q57" t="s">
        <v>347</v>
      </c>
      <c r="R57">
        <v>45091</v>
      </c>
      <c r="S57" t="s">
        <v>358</v>
      </c>
      <c r="T57" t="s">
        <v>420</v>
      </c>
      <c r="U57" t="s">
        <v>360</v>
      </c>
      <c r="V57" t="s">
        <v>361</v>
      </c>
      <c r="W57" t="s">
        <v>310</v>
      </c>
      <c r="X57">
        <v>6594221991</v>
      </c>
      <c r="Y57">
        <v>28</v>
      </c>
      <c r="Z57" t="s">
        <v>297</v>
      </c>
      <c r="AA57" t="s">
        <v>421</v>
      </c>
      <c r="AB57" s="1">
        <v>45098</v>
      </c>
      <c r="AC57" s="3">
        <v>3722.68</v>
      </c>
      <c r="AD57" t="s">
        <v>311</v>
      </c>
      <c r="AE57" t="s">
        <v>352</v>
      </c>
    </row>
    <row r="58" spans="1:31" x14ac:dyDescent="0.3">
      <c r="A58" t="s">
        <v>107</v>
      </c>
      <c r="B58" t="s">
        <v>56</v>
      </c>
      <c r="C58" t="s">
        <v>28</v>
      </c>
      <c r="D58" s="1">
        <v>45031</v>
      </c>
      <c r="E58" s="2">
        <v>0.73958333333333337</v>
      </c>
      <c r="F58" t="s">
        <v>19</v>
      </c>
      <c r="G58" t="s">
        <v>34</v>
      </c>
      <c r="H58" t="s">
        <v>353</v>
      </c>
      <c r="I58" t="s">
        <v>354</v>
      </c>
      <c r="J58" s="3">
        <v>2406.8200000000002</v>
      </c>
      <c r="K58" s="1">
        <v>45031</v>
      </c>
      <c r="L58" t="s">
        <v>344</v>
      </c>
      <c r="M58" t="s">
        <v>355</v>
      </c>
      <c r="N58" t="s">
        <v>356</v>
      </c>
      <c r="O58" s="1">
        <v>34072</v>
      </c>
      <c r="P58">
        <v>7028910482</v>
      </c>
      <c r="Q58" t="s">
        <v>347</v>
      </c>
      <c r="R58">
        <v>45066</v>
      </c>
      <c r="S58" t="s">
        <v>358</v>
      </c>
      <c r="T58" t="s">
        <v>416</v>
      </c>
      <c r="U58" t="s">
        <v>383</v>
      </c>
      <c r="V58" t="s">
        <v>371</v>
      </c>
      <c r="W58" t="s">
        <v>309</v>
      </c>
      <c r="X58">
        <v>6176383634</v>
      </c>
      <c r="Y58">
        <v>21</v>
      </c>
      <c r="Z58" t="s">
        <v>298</v>
      </c>
      <c r="AA58" t="s">
        <v>417</v>
      </c>
      <c r="AB58" s="1">
        <v>45040</v>
      </c>
      <c r="AC58" s="3">
        <v>2926.23</v>
      </c>
      <c r="AD58" t="s">
        <v>317</v>
      </c>
      <c r="AE58" t="s">
        <v>376</v>
      </c>
    </row>
    <row r="59" spans="1:31" x14ac:dyDescent="0.3">
      <c r="A59" t="s">
        <v>108</v>
      </c>
      <c r="B59" t="s">
        <v>6</v>
      </c>
      <c r="C59" t="s">
        <v>47</v>
      </c>
      <c r="D59" s="1">
        <v>45055</v>
      </c>
      <c r="E59" s="2">
        <v>0.55208333333333337</v>
      </c>
      <c r="F59" t="s">
        <v>11</v>
      </c>
      <c r="G59" t="s">
        <v>8</v>
      </c>
      <c r="H59" t="s">
        <v>389</v>
      </c>
      <c r="I59" t="s">
        <v>364</v>
      </c>
      <c r="J59" s="3">
        <v>3503.97</v>
      </c>
      <c r="K59" s="1">
        <v>45055</v>
      </c>
      <c r="L59" t="s">
        <v>344</v>
      </c>
      <c r="M59" t="s">
        <v>355</v>
      </c>
      <c r="N59" t="s">
        <v>356</v>
      </c>
      <c r="O59" s="1">
        <v>29594</v>
      </c>
      <c r="P59">
        <v>8102183595</v>
      </c>
      <c r="Q59" t="s">
        <v>357</v>
      </c>
      <c r="R59">
        <v>44471</v>
      </c>
      <c r="S59" t="s">
        <v>358</v>
      </c>
      <c r="T59" t="s">
        <v>359</v>
      </c>
      <c r="U59" t="s">
        <v>383</v>
      </c>
      <c r="V59" t="s">
        <v>399</v>
      </c>
      <c r="W59" t="s">
        <v>308</v>
      </c>
      <c r="X59">
        <v>9069162601</v>
      </c>
      <c r="Y59">
        <v>5</v>
      </c>
      <c r="Z59" t="s">
        <v>299</v>
      </c>
      <c r="AA59" t="s">
        <v>362</v>
      </c>
      <c r="AB59" s="1">
        <v>45086</v>
      </c>
      <c r="AC59" s="3">
        <v>4158.4399999999996</v>
      </c>
      <c r="AD59" t="s">
        <v>317</v>
      </c>
      <c r="AE59" t="s">
        <v>363</v>
      </c>
    </row>
    <row r="60" spans="1:31" x14ac:dyDescent="0.3">
      <c r="A60" t="s">
        <v>109</v>
      </c>
      <c r="B60" t="s">
        <v>110</v>
      </c>
      <c r="C60" t="s">
        <v>28</v>
      </c>
      <c r="D60" s="1">
        <v>44994</v>
      </c>
      <c r="E60" s="2">
        <v>0.64583333333333337</v>
      </c>
      <c r="F60" t="s">
        <v>3</v>
      </c>
      <c r="G60" t="s">
        <v>12</v>
      </c>
      <c r="H60" t="s">
        <v>377</v>
      </c>
      <c r="I60" t="s">
        <v>364</v>
      </c>
      <c r="J60" s="3">
        <v>929.91</v>
      </c>
      <c r="K60" s="1">
        <v>44994</v>
      </c>
      <c r="L60" t="s">
        <v>383</v>
      </c>
      <c r="M60" t="s">
        <v>355</v>
      </c>
      <c r="N60" t="s">
        <v>346</v>
      </c>
      <c r="O60" s="1">
        <v>35975</v>
      </c>
      <c r="P60">
        <v>8724518272</v>
      </c>
      <c r="Q60" t="s">
        <v>347</v>
      </c>
      <c r="R60">
        <v>44423</v>
      </c>
      <c r="S60" t="s">
        <v>372</v>
      </c>
      <c r="T60" t="s">
        <v>447</v>
      </c>
      <c r="U60" t="s">
        <v>383</v>
      </c>
      <c r="V60" t="s">
        <v>371</v>
      </c>
      <c r="W60" t="s">
        <v>309</v>
      </c>
      <c r="X60">
        <v>6176383634</v>
      </c>
      <c r="Y60">
        <v>21</v>
      </c>
      <c r="Z60" t="s">
        <v>298</v>
      </c>
      <c r="AA60" t="s">
        <v>448</v>
      </c>
      <c r="AB60" s="1">
        <v>44994</v>
      </c>
      <c r="AC60" s="3">
        <v>929.91</v>
      </c>
      <c r="AD60" t="s">
        <v>311</v>
      </c>
      <c r="AE60" t="s">
        <v>352</v>
      </c>
    </row>
    <row r="61" spans="1:31" x14ac:dyDescent="0.3">
      <c r="A61" t="s">
        <v>111</v>
      </c>
      <c r="B61" t="s">
        <v>112</v>
      </c>
      <c r="C61" t="s">
        <v>41</v>
      </c>
      <c r="D61" s="1">
        <v>45252</v>
      </c>
      <c r="E61" s="2">
        <v>0.71875</v>
      </c>
      <c r="F61" t="s">
        <v>22</v>
      </c>
      <c r="G61" t="s">
        <v>8</v>
      </c>
      <c r="H61" t="s">
        <v>389</v>
      </c>
      <c r="I61" t="s">
        <v>343</v>
      </c>
      <c r="J61" s="3">
        <v>3307.37</v>
      </c>
      <c r="K61" s="1">
        <v>45252</v>
      </c>
      <c r="L61" t="s">
        <v>381</v>
      </c>
      <c r="M61" t="s">
        <v>355</v>
      </c>
      <c r="N61" t="s">
        <v>346</v>
      </c>
      <c r="O61" s="1">
        <v>37778</v>
      </c>
      <c r="P61">
        <v>8158989953</v>
      </c>
      <c r="Q61" t="s">
        <v>386</v>
      </c>
      <c r="R61">
        <v>44654</v>
      </c>
      <c r="S61" t="s">
        <v>358</v>
      </c>
      <c r="T61" t="s">
        <v>449</v>
      </c>
      <c r="U61" t="s">
        <v>381</v>
      </c>
      <c r="V61" t="s">
        <v>374</v>
      </c>
      <c r="W61" t="s">
        <v>310</v>
      </c>
      <c r="X61">
        <v>9004382050</v>
      </c>
      <c r="Y61">
        <v>24</v>
      </c>
      <c r="Z61" t="s">
        <v>298</v>
      </c>
      <c r="AA61" t="s">
        <v>450</v>
      </c>
      <c r="AB61" s="1">
        <v>45252</v>
      </c>
      <c r="AC61" s="3">
        <v>3307.37</v>
      </c>
      <c r="AD61" t="s">
        <v>317</v>
      </c>
      <c r="AE61" t="s">
        <v>352</v>
      </c>
    </row>
    <row r="62" spans="1:31" x14ac:dyDescent="0.3">
      <c r="A62" t="s">
        <v>113</v>
      </c>
      <c r="B62" t="s">
        <v>102</v>
      </c>
      <c r="C62" t="s">
        <v>67</v>
      </c>
      <c r="D62" s="1">
        <v>44941</v>
      </c>
      <c r="E62" s="2">
        <v>0.70833333333333337</v>
      </c>
      <c r="F62" t="s">
        <v>3</v>
      </c>
      <c r="G62" t="s">
        <v>8</v>
      </c>
      <c r="H62" t="s">
        <v>413</v>
      </c>
      <c r="I62" t="s">
        <v>364</v>
      </c>
      <c r="J62" s="3">
        <v>2532.9499999999998</v>
      </c>
      <c r="K62" s="1">
        <v>44941</v>
      </c>
      <c r="L62" t="s">
        <v>350</v>
      </c>
      <c r="M62" t="s">
        <v>399</v>
      </c>
      <c r="N62" t="s">
        <v>346</v>
      </c>
      <c r="O62" s="1">
        <v>33546</v>
      </c>
      <c r="P62">
        <v>7196777444</v>
      </c>
      <c r="Q62" t="s">
        <v>347</v>
      </c>
      <c r="R62">
        <v>44441</v>
      </c>
      <c r="S62" t="s">
        <v>348</v>
      </c>
      <c r="T62" t="s">
        <v>443</v>
      </c>
      <c r="U62" t="s">
        <v>350</v>
      </c>
      <c r="V62" t="s">
        <v>391</v>
      </c>
      <c r="W62" t="s">
        <v>308</v>
      </c>
      <c r="X62">
        <v>9118538547</v>
      </c>
      <c r="Y62">
        <v>26</v>
      </c>
      <c r="Z62" t="s">
        <v>297</v>
      </c>
      <c r="AA62" t="s">
        <v>444</v>
      </c>
      <c r="AB62" s="1">
        <v>44969</v>
      </c>
      <c r="AC62" s="3">
        <v>1565.92</v>
      </c>
      <c r="AD62" t="s">
        <v>317</v>
      </c>
      <c r="AE62" t="s">
        <v>352</v>
      </c>
    </row>
    <row r="63" spans="1:31" x14ac:dyDescent="0.3">
      <c r="A63" t="s">
        <v>114</v>
      </c>
      <c r="B63" t="s">
        <v>43</v>
      </c>
      <c r="C63" t="s">
        <v>2</v>
      </c>
      <c r="D63" s="1">
        <v>45091</v>
      </c>
      <c r="E63" s="2">
        <v>0.63541666666666663</v>
      </c>
      <c r="F63" t="s">
        <v>22</v>
      </c>
      <c r="G63" t="s">
        <v>8</v>
      </c>
      <c r="H63" t="s">
        <v>413</v>
      </c>
      <c r="I63" t="s">
        <v>364</v>
      </c>
      <c r="J63" s="3">
        <v>3139.74</v>
      </c>
      <c r="K63" s="1">
        <v>45091</v>
      </c>
      <c r="L63" t="s">
        <v>404</v>
      </c>
      <c r="M63" t="s">
        <v>374</v>
      </c>
      <c r="N63" t="s">
        <v>346</v>
      </c>
      <c r="O63" s="1">
        <v>33580</v>
      </c>
      <c r="P63">
        <v>8135666049</v>
      </c>
      <c r="Q63" t="s">
        <v>347</v>
      </c>
      <c r="R63">
        <v>45043</v>
      </c>
      <c r="S63" t="s">
        <v>358</v>
      </c>
      <c r="T63" t="s">
        <v>407</v>
      </c>
      <c r="U63" t="s">
        <v>350</v>
      </c>
      <c r="V63" t="s">
        <v>345</v>
      </c>
      <c r="W63" t="s">
        <v>310</v>
      </c>
      <c r="X63">
        <v>7387087517</v>
      </c>
      <c r="Y63">
        <v>26</v>
      </c>
      <c r="Z63" t="s">
        <v>297</v>
      </c>
      <c r="AA63" t="s">
        <v>408</v>
      </c>
      <c r="AB63" s="1">
        <v>45071</v>
      </c>
      <c r="AC63" s="3">
        <v>2082.3000000000002</v>
      </c>
      <c r="AD63" t="s">
        <v>316</v>
      </c>
      <c r="AE63" t="s">
        <v>363</v>
      </c>
    </row>
    <row r="64" spans="1:31" x14ac:dyDescent="0.3">
      <c r="A64" t="s">
        <v>115</v>
      </c>
      <c r="B64" t="s">
        <v>116</v>
      </c>
      <c r="C64" t="s">
        <v>7</v>
      </c>
      <c r="D64" s="1">
        <v>45106</v>
      </c>
      <c r="E64" s="2">
        <v>0.375</v>
      </c>
      <c r="F64" t="s">
        <v>31</v>
      </c>
      <c r="G64" t="s">
        <v>4</v>
      </c>
      <c r="H64" t="s">
        <v>353</v>
      </c>
      <c r="I64" t="s">
        <v>364</v>
      </c>
      <c r="J64" s="3">
        <v>1256.06</v>
      </c>
      <c r="K64" s="1">
        <v>45106</v>
      </c>
      <c r="L64" t="s">
        <v>404</v>
      </c>
      <c r="M64" t="s">
        <v>371</v>
      </c>
      <c r="N64" t="s">
        <v>356</v>
      </c>
      <c r="O64" s="1">
        <v>34330</v>
      </c>
      <c r="P64">
        <v>8301134730</v>
      </c>
      <c r="Q64" t="s">
        <v>347</v>
      </c>
      <c r="R64">
        <v>45044</v>
      </c>
      <c r="S64" t="s">
        <v>348</v>
      </c>
      <c r="T64" t="s">
        <v>451</v>
      </c>
      <c r="U64" t="s">
        <v>360</v>
      </c>
      <c r="V64" t="s">
        <v>361</v>
      </c>
      <c r="W64" t="s">
        <v>310</v>
      </c>
      <c r="X64">
        <v>6594221991</v>
      </c>
      <c r="Y64">
        <v>28</v>
      </c>
      <c r="Z64" t="s">
        <v>297</v>
      </c>
      <c r="AA64" t="s">
        <v>452</v>
      </c>
      <c r="AB64" s="1">
        <v>45106</v>
      </c>
      <c r="AC64" s="3">
        <v>1256.06</v>
      </c>
      <c r="AD64" t="s">
        <v>317</v>
      </c>
      <c r="AE64" t="s">
        <v>376</v>
      </c>
    </row>
    <row r="65" spans="1:31" x14ac:dyDescent="0.3">
      <c r="A65" t="s">
        <v>117</v>
      </c>
      <c r="B65" t="s">
        <v>118</v>
      </c>
      <c r="C65" t="s">
        <v>15</v>
      </c>
      <c r="D65" s="1">
        <v>45077</v>
      </c>
      <c r="E65" s="2">
        <v>0.35416666666666669</v>
      </c>
      <c r="F65" t="s">
        <v>22</v>
      </c>
      <c r="G65" t="s">
        <v>12</v>
      </c>
      <c r="H65" t="s">
        <v>389</v>
      </c>
      <c r="I65" t="s">
        <v>343</v>
      </c>
      <c r="J65" s="3">
        <v>3815.93</v>
      </c>
      <c r="K65" s="1">
        <v>45077</v>
      </c>
      <c r="L65" t="s">
        <v>360</v>
      </c>
      <c r="M65" t="s">
        <v>371</v>
      </c>
      <c r="N65" t="s">
        <v>346</v>
      </c>
      <c r="O65" s="1">
        <v>34072</v>
      </c>
      <c r="P65">
        <v>7039619487</v>
      </c>
      <c r="Q65" t="s">
        <v>357</v>
      </c>
      <c r="R65">
        <v>45116</v>
      </c>
      <c r="S65" t="s">
        <v>358</v>
      </c>
      <c r="T65" t="s">
        <v>453</v>
      </c>
      <c r="U65" t="s">
        <v>344</v>
      </c>
      <c r="V65" t="s">
        <v>374</v>
      </c>
      <c r="W65" t="s">
        <v>310</v>
      </c>
      <c r="X65">
        <v>6570137231</v>
      </c>
      <c r="Y65">
        <v>23</v>
      </c>
      <c r="Z65" t="s">
        <v>297</v>
      </c>
      <c r="AA65" t="s">
        <v>454</v>
      </c>
      <c r="AB65" s="1">
        <v>45077</v>
      </c>
      <c r="AC65" s="3">
        <v>3815.93</v>
      </c>
      <c r="AD65" t="s">
        <v>311</v>
      </c>
      <c r="AE65" t="s">
        <v>363</v>
      </c>
    </row>
    <row r="66" spans="1:31" x14ac:dyDescent="0.3">
      <c r="A66" t="s">
        <v>119</v>
      </c>
      <c r="B66" t="s">
        <v>79</v>
      </c>
      <c r="C66" t="s">
        <v>52</v>
      </c>
      <c r="D66" s="1">
        <v>45040</v>
      </c>
      <c r="E66" s="2">
        <v>0.65625</v>
      </c>
      <c r="F66" t="s">
        <v>19</v>
      </c>
      <c r="G66" t="s">
        <v>12</v>
      </c>
      <c r="H66" t="s">
        <v>377</v>
      </c>
      <c r="I66" t="s">
        <v>354</v>
      </c>
      <c r="J66" s="3">
        <v>4382.59</v>
      </c>
      <c r="K66" s="1">
        <v>45040</v>
      </c>
      <c r="L66" t="s">
        <v>390</v>
      </c>
      <c r="M66" t="s">
        <v>371</v>
      </c>
      <c r="N66" t="s">
        <v>346</v>
      </c>
      <c r="O66" s="1">
        <v>25605</v>
      </c>
      <c r="P66">
        <v>7923214041</v>
      </c>
      <c r="Q66" t="s">
        <v>386</v>
      </c>
      <c r="R66">
        <v>45175</v>
      </c>
      <c r="S66" t="s">
        <v>358</v>
      </c>
      <c r="T66" t="s">
        <v>430</v>
      </c>
      <c r="U66" t="s">
        <v>360</v>
      </c>
      <c r="V66" t="s">
        <v>391</v>
      </c>
      <c r="W66" t="s">
        <v>308</v>
      </c>
      <c r="X66">
        <v>8322010158</v>
      </c>
      <c r="Y66">
        <v>17</v>
      </c>
      <c r="Z66" t="s">
        <v>299</v>
      </c>
      <c r="AA66" t="s">
        <v>431</v>
      </c>
      <c r="AB66" s="1">
        <v>44934</v>
      </c>
      <c r="AC66" s="3">
        <v>4833.17</v>
      </c>
      <c r="AD66" t="s">
        <v>311</v>
      </c>
      <c r="AE66" t="s">
        <v>352</v>
      </c>
    </row>
    <row r="67" spans="1:31" x14ac:dyDescent="0.3">
      <c r="A67" t="s">
        <v>120</v>
      </c>
      <c r="B67" t="s">
        <v>79</v>
      </c>
      <c r="C67" t="s">
        <v>2</v>
      </c>
      <c r="D67" s="1">
        <v>45056</v>
      </c>
      <c r="E67" s="2">
        <v>0.48958333333333331</v>
      </c>
      <c r="F67" t="s">
        <v>11</v>
      </c>
      <c r="G67" t="s">
        <v>8</v>
      </c>
      <c r="H67" t="s">
        <v>377</v>
      </c>
      <c r="I67" t="s">
        <v>354</v>
      </c>
      <c r="J67" s="3">
        <v>1475.33</v>
      </c>
      <c r="K67" s="1">
        <v>45056</v>
      </c>
      <c r="L67" t="s">
        <v>390</v>
      </c>
      <c r="M67" t="s">
        <v>371</v>
      </c>
      <c r="N67" t="s">
        <v>346</v>
      </c>
      <c r="O67" s="1">
        <v>25605</v>
      </c>
      <c r="P67">
        <v>7923214041</v>
      </c>
      <c r="Q67" t="s">
        <v>386</v>
      </c>
      <c r="R67">
        <v>45175</v>
      </c>
      <c r="S67" t="s">
        <v>358</v>
      </c>
      <c r="T67" t="s">
        <v>430</v>
      </c>
      <c r="U67" t="s">
        <v>350</v>
      </c>
      <c r="V67" t="s">
        <v>345</v>
      </c>
      <c r="W67" t="s">
        <v>310</v>
      </c>
      <c r="X67">
        <v>7387087517</v>
      </c>
      <c r="Y67">
        <v>26</v>
      </c>
      <c r="Z67" t="s">
        <v>297</v>
      </c>
      <c r="AA67" t="s">
        <v>431</v>
      </c>
      <c r="AB67" s="1">
        <v>44934</v>
      </c>
      <c r="AC67" s="3">
        <v>4833.17</v>
      </c>
      <c r="AD67" t="s">
        <v>311</v>
      </c>
      <c r="AE67" t="s">
        <v>352</v>
      </c>
    </row>
    <row r="68" spans="1:31" x14ac:dyDescent="0.3">
      <c r="A68" t="s">
        <v>121</v>
      </c>
      <c r="B68" t="s">
        <v>122</v>
      </c>
      <c r="C68" t="s">
        <v>52</v>
      </c>
      <c r="D68" s="1">
        <v>45148</v>
      </c>
      <c r="E68" s="2">
        <v>0.45833333333333331</v>
      </c>
      <c r="F68" t="s">
        <v>31</v>
      </c>
      <c r="G68" t="s">
        <v>4</v>
      </c>
      <c r="H68" t="s">
        <v>342</v>
      </c>
      <c r="I68" t="s">
        <v>364</v>
      </c>
      <c r="J68" s="3">
        <v>930.72</v>
      </c>
      <c r="K68" s="1">
        <v>45148</v>
      </c>
      <c r="L68" t="s">
        <v>383</v>
      </c>
      <c r="M68" t="s">
        <v>399</v>
      </c>
      <c r="N68" t="s">
        <v>356</v>
      </c>
      <c r="O68" s="1">
        <v>29305</v>
      </c>
      <c r="P68">
        <v>9127665406</v>
      </c>
      <c r="Q68" t="s">
        <v>386</v>
      </c>
      <c r="R68">
        <v>44760</v>
      </c>
      <c r="S68" t="s">
        <v>348</v>
      </c>
      <c r="T68" t="s">
        <v>455</v>
      </c>
      <c r="U68" t="s">
        <v>360</v>
      </c>
      <c r="V68" t="s">
        <v>391</v>
      </c>
      <c r="W68" t="s">
        <v>308</v>
      </c>
      <c r="X68">
        <v>8322010158</v>
      </c>
      <c r="Y68">
        <v>17</v>
      </c>
      <c r="Z68" t="s">
        <v>299</v>
      </c>
      <c r="AA68" t="s">
        <v>456</v>
      </c>
      <c r="AB68" s="1">
        <v>45148</v>
      </c>
      <c r="AC68" s="3">
        <v>930.72</v>
      </c>
      <c r="AD68" t="s">
        <v>316</v>
      </c>
      <c r="AE68" t="s">
        <v>352</v>
      </c>
    </row>
    <row r="69" spans="1:31" x14ac:dyDescent="0.3">
      <c r="A69" t="s">
        <v>123</v>
      </c>
      <c r="B69" t="s">
        <v>49</v>
      </c>
      <c r="C69" t="s">
        <v>67</v>
      </c>
      <c r="D69" s="1">
        <v>44999</v>
      </c>
      <c r="E69" s="2">
        <v>0.625</v>
      </c>
      <c r="F69" t="s">
        <v>22</v>
      </c>
      <c r="G69" t="s">
        <v>4</v>
      </c>
      <c r="H69" t="s">
        <v>377</v>
      </c>
      <c r="I69" t="s">
        <v>354</v>
      </c>
      <c r="J69" s="3">
        <v>606.37</v>
      </c>
      <c r="K69" s="1">
        <v>44999</v>
      </c>
      <c r="L69" t="s">
        <v>370</v>
      </c>
      <c r="M69" t="s">
        <v>378</v>
      </c>
      <c r="N69" t="s">
        <v>356</v>
      </c>
      <c r="O69" s="1">
        <v>36196</v>
      </c>
      <c r="P69">
        <v>8886800195</v>
      </c>
      <c r="Q69" t="s">
        <v>379</v>
      </c>
      <c r="R69">
        <v>44469</v>
      </c>
      <c r="S69" t="s">
        <v>372</v>
      </c>
      <c r="T69" t="s">
        <v>411</v>
      </c>
      <c r="U69" t="s">
        <v>350</v>
      </c>
      <c r="V69" t="s">
        <v>391</v>
      </c>
      <c r="W69" t="s">
        <v>308</v>
      </c>
      <c r="X69">
        <v>9118538547</v>
      </c>
      <c r="Y69">
        <v>26</v>
      </c>
      <c r="Z69" t="s">
        <v>297</v>
      </c>
      <c r="AA69" t="s">
        <v>412</v>
      </c>
      <c r="AB69" s="1">
        <v>45118</v>
      </c>
      <c r="AC69" s="3">
        <v>1655.49</v>
      </c>
      <c r="AD69" t="s">
        <v>316</v>
      </c>
      <c r="AE69" t="s">
        <v>352</v>
      </c>
    </row>
    <row r="70" spans="1:31" x14ac:dyDescent="0.3">
      <c r="A70" t="s">
        <v>124</v>
      </c>
      <c r="B70" t="s">
        <v>43</v>
      </c>
      <c r="C70" t="s">
        <v>7</v>
      </c>
      <c r="D70" s="1">
        <v>45014</v>
      </c>
      <c r="E70" s="2">
        <v>0.64583333333333337</v>
      </c>
      <c r="F70" t="s">
        <v>3</v>
      </c>
      <c r="G70" t="s">
        <v>12</v>
      </c>
      <c r="H70" t="s">
        <v>353</v>
      </c>
      <c r="I70" t="s">
        <v>343</v>
      </c>
      <c r="J70" s="3">
        <v>3388.87</v>
      </c>
      <c r="K70" s="1">
        <v>45014</v>
      </c>
      <c r="L70" t="s">
        <v>404</v>
      </c>
      <c r="M70" t="s">
        <v>374</v>
      </c>
      <c r="N70" t="s">
        <v>346</v>
      </c>
      <c r="O70" s="1">
        <v>33580</v>
      </c>
      <c r="P70">
        <v>8135666049</v>
      </c>
      <c r="Q70" t="s">
        <v>347</v>
      </c>
      <c r="R70">
        <v>45043</v>
      </c>
      <c r="S70" t="s">
        <v>358</v>
      </c>
      <c r="T70" t="s">
        <v>407</v>
      </c>
      <c r="U70" t="s">
        <v>360</v>
      </c>
      <c r="V70" t="s">
        <v>361</v>
      </c>
      <c r="W70" t="s">
        <v>310</v>
      </c>
      <c r="X70">
        <v>6594221991</v>
      </c>
      <c r="Y70">
        <v>28</v>
      </c>
      <c r="Z70" t="s">
        <v>297</v>
      </c>
      <c r="AA70" t="s">
        <v>408</v>
      </c>
      <c r="AB70" s="1">
        <v>45071</v>
      </c>
      <c r="AC70" s="3">
        <v>2082.3000000000002</v>
      </c>
      <c r="AD70" t="s">
        <v>316</v>
      </c>
      <c r="AE70" t="s">
        <v>363</v>
      </c>
    </row>
    <row r="71" spans="1:31" x14ac:dyDescent="0.3">
      <c r="A71" t="s">
        <v>125</v>
      </c>
      <c r="B71" t="s">
        <v>40</v>
      </c>
      <c r="C71" t="s">
        <v>18</v>
      </c>
      <c r="D71" s="1">
        <v>45164</v>
      </c>
      <c r="E71" s="2">
        <v>0.70833333333333337</v>
      </c>
      <c r="F71" t="s">
        <v>31</v>
      </c>
      <c r="G71" t="s">
        <v>4</v>
      </c>
      <c r="H71" t="s">
        <v>353</v>
      </c>
      <c r="I71" t="s">
        <v>343</v>
      </c>
      <c r="J71" s="3">
        <v>3231.92</v>
      </c>
      <c r="K71" s="1">
        <v>45164</v>
      </c>
      <c r="L71" t="s">
        <v>404</v>
      </c>
      <c r="M71" t="s">
        <v>361</v>
      </c>
      <c r="N71" t="s">
        <v>356</v>
      </c>
      <c r="O71" s="1">
        <v>28358</v>
      </c>
      <c r="P71">
        <v>8397029847</v>
      </c>
      <c r="Q71" t="s">
        <v>347</v>
      </c>
      <c r="R71">
        <v>44599</v>
      </c>
      <c r="S71" t="s">
        <v>367</v>
      </c>
      <c r="T71" t="s">
        <v>405</v>
      </c>
      <c r="U71" t="s">
        <v>381</v>
      </c>
      <c r="V71" t="s">
        <v>345</v>
      </c>
      <c r="W71" t="s">
        <v>310</v>
      </c>
      <c r="X71">
        <v>8737740598</v>
      </c>
      <c r="Y71">
        <v>19</v>
      </c>
      <c r="Z71" t="s">
        <v>298</v>
      </c>
      <c r="AA71" t="s">
        <v>406</v>
      </c>
      <c r="AB71" s="1">
        <v>45154</v>
      </c>
      <c r="AC71" s="3">
        <v>4704.96</v>
      </c>
      <c r="AD71" t="s">
        <v>311</v>
      </c>
      <c r="AE71" t="s">
        <v>363</v>
      </c>
    </row>
    <row r="72" spans="1:31" x14ac:dyDescent="0.3">
      <c r="A72" t="s">
        <v>126</v>
      </c>
      <c r="B72" t="s">
        <v>24</v>
      </c>
      <c r="C72" t="s">
        <v>15</v>
      </c>
      <c r="D72" s="1">
        <v>44952</v>
      </c>
      <c r="E72" s="2">
        <v>0.70833333333333337</v>
      </c>
      <c r="F72" t="s">
        <v>31</v>
      </c>
      <c r="G72" t="s">
        <v>4</v>
      </c>
      <c r="H72" t="s">
        <v>377</v>
      </c>
      <c r="I72" t="s">
        <v>354</v>
      </c>
      <c r="J72" s="3">
        <v>2960.14</v>
      </c>
      <c r="K72" s="1">
        <v>44952</v>
      </c>
      <c r="L72" t="s">
        <v>360</v>
      </c>
      <c r="M72" t="s">
        <v>378</v>
      </c>
      <c r="N72" t="s">
        <v>346</v>
      </c>
      <c r="O72" s="1">
        <v>20244</v>
      </c>
      <c r="P72">
        <v>6939585183</v>
      </c>
      <c r="Q72" t="s">
        <v>386</v>
      </c>
      <c r="R72">
        <v>44735</v>
      </c>
      <c r="S72" t="s">
        <v>348</v>
      </c>
      <c r="T72" t="s">
        <v>387</v>
      </c>
      <c r="U72" t="s">
        <v>344</v>
      </c>
      <c r="V72" t="s">
        <v>374</v>
      </c>
      <c r="W72" t="s">
        <v>310</v>
      </c>
      <c r="X72">
        <v>6570137231</v>
      </c>
      <c r="Y72">
        <v>23</v>
      </c>
      <c r="Z72" t="s">
        <v>297</v>
      </c>
      <c r="AA72" t="s">
        <v>388</v>
      </c>
      <c r="AB72" s="1">
        <v>45025</v>
      </c>
      <c r="AC72" s="3">
        <v>534.03</v>
      </c>
      <c r="AD72" t="s">
        <v>311</v>
      </c>
      <c r="AE72" t="s">
        <v>376</v>
      </c>
    </row>
    <row r="73" spans="1:31" x14ac:dyDescent="0.3">
      <c r="A73" t="s">
        <v>127</v>
      </c>
      <c r="B73" t="s">
        <v>79</v>
      </c>
      <c r="C73" t="s">
        <v>41</v>
      </c>
      <c r="D73" s="1">
        <v>45089</v>
      </c>
      <c r="E73" s="2">
        <v>0.5625</v>
      </c>
      <c r="F73" t="s">
        <v>22</v>
      </c>
      <c r="G73" t="s">
        <v>4</v>
      </c>
      <c r="H73" t="s">
        <v>377</v>
      </c>
      <c r="I73" t="s">
        <v>354</v>
      </c>
      <c r="J73" s="3">
        <v>1543.76</v>
      </c>
      <c r="K73" s="1">
        <v>45089</v>
      </c>
      <c r="L73" t="s">
        <v>390</v>
      </c>
      <c r="M73" t="s">
        <v>371</v>
      </c>
      <c r="N73" t="s">
        <v>346</v>
      </c>
      <c r="O73" s="1">
        <v>25605</v>
      </c>
      <c r="P73">
        <v>7923214041</v>
      </c>
      <c r="Q73" t="s">
        <v>386</v>
      </c>
      <c r="R73">
        <v>45175</v>
      </c>
      <c r="S73" t="s">
        <v>358</v>
      </c>
      <c r="T73" t="s">
        <v>430</v>
      </c>
      <c r="U73" t="s">
        <v>381</v>
      </c>
      <c r="V73" t="s">
        <v>374</v>
      </c>
      <c r="W73" t="s">
        <v>310</v>
      </c>
      <c r="X73">
        <v>9004382050</v>
      </c>
      <c r="Y73">
        <v>24</v>
      </c>
      <c r="Z73" t="s">
        <v>298</v>
      </c>
      <c r="AA73" t="s">
        <v>431</v>
      </c>
      <c r="AB73" s="1">
        <v>44934</v>
      </c>
      <c r="AC73" s="3">
        <v>4833.17</v>
      </c>
      <c r="AD73" t="s">
        <v>311</v>
      </c>
      <c r="AE73" t="s">
        <v>352</v>
      </c>
    </row>
    <row r="74" spans="1:31" x14ac:dyDescent="0.3">
      <c r="A74" t="s">
        <v>128</v>
      </c>
      <c r="B74" t="s">
        <v>17</v>
      </c>
      <c r="C74" t="s">
        <v>18</v>
      </c>
      <c r="D74" s="1">
        <v>45284</v>
      </c>
      <c r="E74" s="2">
        <v>0.625</v>
      </c>
      <c r="F74" t="s">
        <v>31</v>
      </c>
      <c r="G74" t="s">
        <v>34</v>
      </c>
      <c r="H74" t="s">
        <v>342</v>
      </c>
      <c r="I74" t="s">
        <v>364</v>
      </c>
      <c r="J74" s="3">
        <v>2259.08</v>
      </c>
      <c r="K74" s="1">
        <v>45284</v>
      </c>
      <c r="L74" t="s">
        <v>365</v>
      </c>
      <c r="M74" t="s">
        <v>378</v>
      </c>
      <c r="N74" t="s">
        <v>356</v>
      </c>
      <c r="O74" s="1">
        <v>26449</v>
      </c>
      <c r="P74">
        <v>7587653815</v>
      </c>
      <c r="Q74" t="s">
        <v>379</v>
      </c>
      <c r="R74">
        <v>44485</v>
      </c>
      <c r="S74" t="s">
        <v>367</v>
      </c>
      <c r="T74" t="s">
        <v>380</v>
      </c>
      <c r="U74" t="s">
        <v>381</v>
      </c>
      <c r="V74" t="s">
        <v>345</v>
      </c>
      <c r="W74" t="s">
        <v>310</v>
      </c>
      <c r="X74">
        <v>8737740598</v>
      </c>
      <c r="Y74">
        <v>19</v>
      </c>
      <c r="Z74" t="s">
        <v>298</v>
      </c>
      <c r="AA74" t="s">
        <v>382</v>
      </c>
      <c r="AB74" s="1">
        <v>45113</v>
      </c>
      <c r="AC74" s="3">
        <v>582.04999999999995</v>
      </c>
      <c r="AD74" t="s">
        <v>316</v>
      </c>
      <c r="AE74" t="s">
        <v>352</v>
      </c>
    </row>
    <row r="75" spans="1:31" x14ac:dyDescent="0.3">
      <c r="A75" t="s">
        <v>129</v>
      </c>
      <c r="B75" t="s">
        <v>85</v>
      </c>
      <c r="C75" t="s">
        <v>67</v>
      </c>
      <c r="D75" s="1">
        <v>45130</v>
      </c>
      <c r="E75" s="2">
        <v>0.5625</v>
      </c>
      <c r="F75" t="s">
        <v>3</v>
      </c>
      <c r="G75" t="s">
        <v>8</v>
      </c>
      <c r="H75" t="s">
        <v>377</v>
      </c>
      <c r="I75" t="s">
        <v>354</v>
      </c>
      <c r="J75" s="3">
        <v>3175.14</v>
      </c>
      <c r="K75" s="1">
        <v>45130</v>
      </c>
      <c r="L75" t="s">
        <v>390</v>
      </c>
      <c r="M75" t="s">
        <v>391</v>
      </c>
      <c r="N75" t="s">
        <v>356</v>
      </c>
      <c r="O75" s="1">
        <v>37177</v>
      </c>
      <c r="P75">
        <v>7081396733</v>
      </c>
      <c r="Q75" t="s">
        <v>357</v>
      </c>
      <c r="R75">
        <v>44797</v>
      </c>
      <c r="S75" t="s">
        <v>348</v>
      </c>
      <c r="T75" t="s">
        <v>435</v>
      </c>
      <c r="U75" t="s">
        <v>350</v>
      </c>
      <c r="V75" t="s">
        <v>391</v>
      </c>
      <c r="W75" t="s">
        <v>308</v>
      </c>
      <c r="X75">
        <v>9118538547</v>
      </c>
      <c r="Y75">
        <v>26</v>
      </c>
      <c r="Z75" t="s">
        <v>297</v>
      </c>
      <c r="AA75" t="s">
        <v>436</v>
      </c>
      <c r="AB75" s="1">
        <v>45012</v>
      </c>
      <c r="AC75" s="3">
        <v>695.36</v>
      </c>
      <c r="AD75" t="s">
        <v>311</v>
      </c>
      <c r="AE75" t="s">
        <v>376</v>
      </c>
    </row>
    <row r="76" spans="1:31" x14ac:dyDescent="0.3">
      <c r="A76" t="s">
        <v>130</v>
      </c>
      <c r="B76" t="s">
        <v>122</v>
      </c>
      <c r="C76" t="s">
        <v>2</v>
      </c>
      <c r="D76" s="1">
        <v>45054</v>
      </c>
      <c r="E76" s="2">
        <v>0.58333333333333337</v>
      </c>
      <c r="F76" t="s">
        <v>31</v>
      </c>
      <c r="G76" t="s">
        <v>12</v>
      </c>
      <c r="H76" t="s">
        <v>342</v>
      </c>
      <c r="I76" t="s">
        <v>364</v>
      </c>
      <c r="J76" s="3">
        <v>2735.45</v>
      </c>
      <c r="K76" s="1">
        <v>45054</v>
      </c>
      <c r="L76" t="s">
        <v>383</v>
      </c>
      <c r="M76" t="s">
        <v>399</v>
      </c>
      <c r="N76" t="s">
        <v>356</v>
      </c>
      <c r="O76" s="1">
        <v>29305</v>
      </c>
      <c r="P76">
        <v>9127665406</v>
      </c>
      <c r="Q76" t="s">
        <v>386</v>
      </c>
      <c r="R76">
        <v>44760</v>
      </c>
      <c r="S76" t="s">
        <v>348</v>
      </c>
      <c r="T76" t="s">
        <v>455</v>
      </c>
      <c r="U76" t="s">
        <v>350</v>
      </c>
      <c r="V76" t="s">
        <v>345</v>
      </c>
      <c r="W76" t="s">
        <v>310</v>
      </c>
      <c r="X76">
        <v>7387087517</v>
      </c>
      <c r="Y76">
        <v>26</v>
      </c>
      <c r="Z76" t="s">
        <v>297</v>
      </c>
      <c r="AA76" t="s">
        <v>456</v>
      </c>
      <c r="AB76" s="1">
        <v>45148</v>
      </c>
      <c r="AC76" s="3">
        <v>930.72</v>
      </c>
      <c r="AD76" t="s">
        <v>316</v>
      </c>
      <c r="AE76" t="s">
        <v>352</v>
      </c>
    </row>
    <row r="77" spans="1:31" x14ac:dyDescent="0.3">
      <c r="A77" t="s">
        <v>131</v>
      </c>
      <c r="B77" t="s">
        <v>132</v>
      </c>
      <c r="C77" t="s">
        <v>41</v>
      </c>
      <c r="D77" s="1">
        <v>45257</v>
      </c>
      <c r="E77" s="2">
        <v>0.5</v>
      </c>
      <c r="F77" t="s">
        <v>3</v>
      </c>
      <c r="G77" t="s">
        <v>12</v>
      </c>
      <c r="H77" t="s">
        <v>342</v>
      </c>
      <c r="I77" t="s">
        <v>364</v>
      </c>
      <c r="J77" s="3">
        <v>4945.03</v>
      </c>
      <c r="K77" s="1">
        <v>45257</v>
      </c>
      <c r="L77" t="s">
        <v>370</v>
      </c>
      <c r="M77" t="s">
        <v>391</v>
      </c>
      <c r="N77" t="s">
        <v>346</v>
      </c>
      <c r="O77" s="1">
        <v>27830</v>
      </c>
      <c r="P77">
        <v>9449458981</v>
      </c>
      <c r="Q77" t="s">
        <v>347</v>
      </c>
      <c r="R77">
        <v>44952</v>
      </c>
      <c r="S77" t="s">
        <v>367</v>
      </c>
      <c r="T77" t="s">
        <v>457</v>
      </c>
      <c r="U77" t="s">
        <v>381</v>
      </c>
      <c r="V77" t="s">
        <v>374</v>
      </c>
      <c r="W77" t="s">
        <v>310</v>
      </c>
      <c r="X77">
        <v>9004382050</v>
      </c>
      <c r="Y77">
        <v>24</v>
      </c>
      <c r="Z77" t="s">
        <v>298</v>
      </c>
      <c r="AA77" t="s">
        <v>458</v>
      </c>
      <c r="AB77" s="1">
        <v>45257</v>
      </c>
      <c r="AC77" s="3">
        <v>4945.03</v>
      </c>
      <c r="AD77" t="s">
        <v>316</v>
      </c>
      <c r="AE77" t="s">
        <v>352</v>
      </c>
    </row>
    <row r="78" spans="1:31" x14ac:dyDescent="0.3">
      <c r="A78" t="s">
        <v>133</v>
      </c>
      <c r="B78" t="s">
        <v>38</v>
      </c>
      <c r="C78" t="s">
        <v>28</v>
      </c>
      <c r="D78" s="1">
        <v>45274</v>
      </c>
      <c r="E78" s="2">
        <v>0.71875</v>
      </c>
      <c r="F78" t="s">
        <v>22</v>
      </c>
      <c r="G78" t="s">
        <v>34</v>
      </c>
      <c r="H78" t="s">
        <v>377</v>
      </c>
      <c r="I78" t="s">
        <v>343</v>
      </c>
      <c r="J78" s="3">
        <v>1113.98</v>
      </c>
      <c r="K78" s="1">
        <v>45274</v>
      </c>
      <c r="L78" t="s">
        <v>360</v>
      </c>
      <c r="M78" t="s">
        <v>345</v>
      </c>
      <c r="N78" t="s">
        <v>356</v>
      </c>
      <c r="O78" s="1">
        <v>38487</v>
      </c>
      <c r="P78">
        <v>8923607677</v>
      </c>
      <c r="Q78" t="s">
        <v>386</v>
      </c>
      <c r="R78">
        <v>45035</v>
      </c>
      <c r="S78" t="s">
        <v>372</v>
      </c>
      <c r="T78" t="s">
        <v>402</v>
      </c>
      <c r="U78" t="s">
        <v>383</v>
      </c>
      <c r="V78" t="s">
        <v>371</v>
      </c>
      <c r="W78" t="s">
        <v>309</v>
      </c>
      <c r="X78">
        <v>6176383634</v>
      </c>
      <c r="Y78">
        <v>21</v>
      </c>
      <c r="Z78" t="s">
        <v>298</v>
      </c>
      <c r="AA78" t="s">
        <v>403</v>
      </c>
      <c r="AB78" s="1">
        <v>45053</v>
      </c>
      <c r="AC78" s="3">
        <v>771.2</v>
      </c>
      <c r="AD78" t="s">
        <v>317</v>
      </c>
      <c r="AE78" t="s">
        <v>352</v>
      </c>
    </row>
    <row r="79" spans="1:31" x14ac:dyDescent="0.3">
      <c r="A79" t="s">
        <v>134</v>
      </c>
      <c r="B79" t="s">
        <v>135</v>
      </c>
      <c r="C79" t="s">
        <v>47</v>
      </c>
      <c r="D79" s="1">
        <v>45186</v>
      </c>
      <c r="E79" s="2">
        <v>0.46875</v>
      </c>
      <c r="F79" t="s">
        <v>11</v>
      </c>
      <c r="G79" t="s">
        <v>8</v>
      </c>
      <c r="H79" t="s">
        <v>413</v>
      </c>
      <c r="I79" t="s">
        <v>343</v>
      </c>
      <c r="J79" s="3">
        <v>3628.15</v>
      </c>
      <c r="K79" s="1">
        <v>45186</v>
      </c>
      <c r="L79" t="s">
        <v>404</v>
      </c>
      <c r="M79" t="s">
        <v>432</v>
      </c>
      <c r="N79" t="s">
        <v>346</v>
      </c>
      <c r="O79" s="1">
        <v>32960</v>
      </c>
      <c r="P79">
        <v>9059178882</v>
      </c>
      <c r="Q79" t="s">
        <v>347</v>
      </c>
      <c r="R79">
        <v>44553</v>
      </c>
      <c r="S79" t="s">
        <v>348</v>
      </c>
      <c r="T79" t="s">
        <v>459</v>
      </c>
      <c r="U79" t="s">
        <v>383</v>
      </c>
      <c r="V79" t="s">
        <v>399</v>
      </c>
      <c r="W79" t="s">
        <v>308</v>
      </c>
      <c r="X79">
        <v>9069162601</v>
      </c>
      <c r="Y79">
        <v>5</v>
      </c>
      <c r="Z79" t="s">
        <v>299</v>
      </c>
      <c r="AA79" t="s">
        <v>460</v>
      </c>
      <c r="AB79" s="1">
        <v>45186</v>
      </c>
      <c r="AC79" s="3">
        <v>3628.15</v>
      </c>
      <c r="AD79" t="s">
        <v>316</v>
      </c>
      <c r="AE79" t="s">
        <v>363</v>
      </c>
    </row>
    <row r="80" spans="1:31" x14ac:dyDescent="0.3">
      <c r="A80" t="s">
        <v>136</v>
      </c>
      <c r="B80" t="s">
        <v>43</v>
      </c>
      <c r="C80" t="s">
        <v>41</v>
      </c>
      <c r="D80" s="1">
        <v>45286</v>
      </c>
      <c r="E80" s="2">
        <v>0.58333333333333337</v>
      </c>
      <c r="F80" t="s">
        <v>31</v>
      </c>
      <c r="G80" t="s">
        <v>12</v>
      </c>
      <c r="H80" t="s">
        <v>413</v>
      </c>
      <c r="I80" t="s">
        <v>343</v>
      </c>
      <c r="J80" s="3">
        <v>2319.4299999999998</v>
      </c>
      <c r="K80" s="1">
        <v>45286</v>
      </c>
      <c r="L80" t="s">
        <v>404</v>
      </c>
      <c r="M80" t="s">
        <v>374</v>
      </c>
      <c r="N80" t="s">
        <v>346</v>
      </c>
      <c r="O80" s="1">
        <v>33580</v>
      </c>
      <c r="P80">
        <v>8135666049</v>
      </c>
      <c r="Q80" t="s">
        <v>347</v>
      </c>
      <c r="R80">
        <v>45043</v>
      </c>
      <c r="S80" t="s">
        <v>358</v>
      </c>
      <c r="T80" t="s">
        <v>407</v>
      </c>
      <c r="U80" t="s">
        <v>381</v>
      </c>
      <c r="V80" t="s">
        <v>374</v>
      </c>
      <c r="W80" t="s">
        <v>310</v>
      </c>
      <c r="X80">
        <v>9004382050</v>
      </c>
      <c r="Y80">
        <v>24</v>
      </c>
      <c r="Z80" t="s">
        <v>298</v>
      </c>
      <c r="AA80" t="s">
        <v>408</v>
      </c>
      <c r="AB80" s="1">
        <v>45071</v>
      </c>
      <c r="AC80" s="3">
        <v>2082.3000000000002</v>
      </c>
      <c r="AD80" t="s">
        <v>316</v>
      </c>
      <c r="AE80" t="s">
        <v>363</v>
      </c>
    </row>
    <row r="81" spans="1:31" x14ac:dyDescent="0.3">
      <c r="A81" t="s">
        <v>137</v>
      </c>
      <c r="B81" t="s">
        <v>90</v>
      </c>
      <c r="C81" t="s">
        <v>67</v>
      </c>
      <c r="D81" s="1">
        <v>45103</v>
      </c>
      <c r="E81" s="2">
        <v>0.35416666666666669</v>
      </c>
      <c r="F81" t="s">
        <v>11</v>
      </c>
      <c r="G81" t="s">
        <v>4</v>
      </c>
      <c r="H81" t="s">
        <v>342</v>
      </c>
      <c r="I81" t="s">
        <v>343</v>
      </c>
      <c r="J81" s="3">
        <v>2426.9</v>
      </c>
      <c r="K81" s="1">
        <v>45103</v>
      </c>
      <c r="L81" t="s">
        <v>370</v>
      </c>
      <c r="M81" t="s">
        <v>366</v>
      </c>
      <c r="N81" t="s">
        <v>356</v>
      </c>
      <c r="O81" s="1">
        <v>31791</v>
      </c>
      <c r="P81">
        <v>8280346676</v>
      </c>
      <c r="Q81" t="s">
        <v>347</v>
      </c>
      <c r="R81">
        <v>44740</v>
      </c>
      <c r="S81" t="s">
        <v>348</v>
      </c>
      <c r="T81" t="s">
        <v>437</v>
      </c>
      <c r="U81" t="s">
        <v>350</v>
      </c>
      <c r="V81" t="s">
        <v>391</v>
      </c>
      <c r="W81" t="s">
        <v>308</v>
      </c>
      <c r="X81">
        <v>9118538547</v>
      </c>
      <c r="Y81">
        <v>26</v>
      </c>
      <c r="Z81" t="s">
        <v>297</v>
      </c>
      <c r="AA81" t="s">
        <v>438</v>
      </c>
      <c r="AB81" s="1">
        <v>45189</v>
      </c>
      <c r="AC81" s="3">
        <v>4186.3500000000004</v>
      </c>
      <c r="AD81" t="s">
        <v>317</v>
      </c>
      <c r="AE81" t="s">
        <v>363</v>
      </c>
    </row>
    <row r="82" spans="1:31" x14ac:dyDescent="0.3">
      <c r="A82" t="s">
        <v>138</v>
      </c>
      <c r="B82" t="s">
        <v>65</v>
      </c>
      <c r="C82" t="s">
        <v>25</v>
      </c>
      <c r="D82" s="1">
        <v>44932</v>
      </c>
      <c r="E82" s="2">
        <v>0.5625</v>
      </c>
      <c r="F82" t="s">
        <v>3</v>
      </c>
      <c r="G82" t="s">
        <v>12</v>
      </c>
      <c r="H82" t="s">
        <v>377</v>
      </c>
      <c r="I82" t="s">
        <v>354</v>
      </c>
      <c r="J82" s="3">
        <v>3729.19</v>
      </c>
      <c r="K82" s="1">
        <v>44932</v>
      </c>
      <c r="L82" t="s">
        <v>390</v>
      </c>
      <c r="M82" t="s">
        <v>391</v>
      </c>
      <c r="N82" t="s">
        <v>346</v>
      </c>
      <c r="O82" s="1">
        <v>31656</v>
      </c>
      <c r="P82">
        <v>8019925828</v>
      </c>
      <c r="Q82" t="s">
        <v>379</v>
      </c>
      <c r="R82">
        <v>44408</v>
      </c>
      <c r="S82" t="s">
        <v>358</v>
      </c>
      <c r="T82" t="s">
        <v>424</v>
      </c>
      <c r="U82" t="s">
        <v>370</v>
      </c>
      <c r="V82" t="s">
        <v>374</v>
      </c>
      <c r="W82" t="s">
        <v>309</v>
      </c>
      <c r="X82">
        <v>8217493115</v>
      </c>
      <c r="Y82">
        <v>26</v>
      </c>
      <c r="Z82" t="s">
        <v>299</v>
      </c>
      <c r="AA82" t="s">
        <v>425</v>
      </c>
      <c r="AB82" s="1">
        <v>45002</v>
      </c>
      <c r="AC82" s="3">
        <v>2360.9699999999998</v>
      </c>
      <c r="AD82" t="s">
        <v>317</v>
      </c>
      <c r="AE82" t="s">
        <v>363</v>
      </c>
    </row>
    <row r="83" spans="1:31" x14ac:dyDescent="0.3">
      <c r="A83" t="s">
        <v>139</v>
      </c>
      <c r="B83" t="s">
        <v>105</v>
      </c>
      <c r="C83" t="s">
        <v>47</v>
      </c>
      <c r="D83" s="1">
        <v>44946</v>
      </c>
      <c r="E83" s="2">
        <v>0.44791666666666669</v>
      </c>
      <c r="F83" t="s">
        <v>31</v>
      </c>
      <c r="G83" t="s">
        <v>4</v>
      </c>
      <c r="H83" t="s">
        <v>413</v>
      </c>
      <c r="I83" t="s">
        <v>343</v>
      </c>
      <c r="J83" s="3">
        <v>3615.96</v>
      </c>
      <c r="K83" s="1">
        <v>44946</v>
      </c>
      <c r="L83" t="s">
        <v>365</v>
      </c>
      <c r="M83" t="s">
        <v>345</v>
      </c>
      <c r="N83" t="s">
        <v>346</v>
      </c>
      <c r="O83" s="1">
        <v>30967</v>
      </c>
      <c r="P83">
        <v>8228188767</v>
      </c>
      <c r="Q83" t="s">
        <v>347</v>
      </c>
      <c r="R83">
        <v>44576</v>
      </c>
      <c r="S83" t="s">
        <v>367</v>
      </c>
      <c r="T83" t="s">
        <v>445</v>
      </c>
      <c r="U83" t="s">
        <v>383</v>
      </c>
      <c r="V83" t="s">
        <v>399</v>
      </c>
      <c r="W83" t="s">
        <v>308</v>
      </c>
      <c r="X83">
        <v>9069162601</v>
      </c>
      <c r="Y83">
        <v>5</v>
      </c>
      <c r="Z83" t="s">
        <v>299</v>
      </c>
      <c r="AA83" t="s">
        <v>446</v>
      </c>
      <c r="AB83" s="1">
        <v>45205</v>
      </c>
      <c r="AC83" s="3">
        <v>1736.63</v>
      </c>
      <c r="AD83" t="s">
        <v>311</v>
      </c>
      <c r="AE83" t="s">
        <v>376</v>
      </c>
    </row>
    <row r="84" spans="1:31" x14ac:dyDescent="0.3">
      <c r="A84" t="s">
        <v>140</v>
      </c>
      <c r="B84" t="s">
        <v>116</v>
      </c>
      <c r="C84" t="s">
        <v>52</v>
      </c>
      <c r="D84" s="1">
        <v>45237</v>
      </c>
      <c r="E84" s="2">
        <v>0.52083333333333337</v>
      </c>
      <c r="F84" t="s">
        <v>19</v>
      </c>
      <c r="G84" t="s">
        <v>34</v>
      </c>
      <c r="H84" t="s">
        <v>377</v>
      </c>
      <c r="I84" t="s">
        <v>354</v>
      </c>
      <c r="J84" s="3">
        <v>4960.6499999999996</v>
      </c>
      <c r="K84" s="1">
        <v>45237</v>
      </c>
      <c r="L84" t="s">
        <v>404</v>
      </c>
      <c r="M84" t="s">
        <v>371</v>
      </c>
      <c r="N84" t="s">
        <v>356</v>
      </c>
      <c r="O84" s="1">
        <v>34330</v>
      </c>
      <c r="P84">
        <v>8301134730</v>
      </c>
      <c r="Q84" t="s">
        <v>347</v>
      </c>
      <c r="R84">
        <v>45044</v>
      </c>
      <c r="S84" t="s">
        <v>348</v>
      </c>
      <c r="T84" t="s">
        <v>451</v>
      </c>
      <c r="U84" t="s">
        <v>360</v>
      </c>
      <c r="V84" t="s">
        <v>391</v>
      </c>
      <c r="W84" t="s">
        <v>308</v>
      </c>
      <c r="X84">
        <v>8322010158</v>
      </c>
      <c r="Y84">
        <v>17</v>
      </c>
      <c r="Z84" t="s">
        <v>299</v>
      </c>
      <c r="AA84" t="s">
        <v>452</v>
      </c>
      <c r="AB84" s="1">
        <v>45106</v>
      </c>
      <c r="AC84" s="3">
        <v>1256.06</v>
      </c>
      <c r="AD84" t="s">
        <v>317</v>
      </c>
      <c r="AE84" t="s">
        <v>376</v>
      </c>
    </row>
    <row r="85" spans="1:31" x14ac:dyDescent="0.3">
      <c r="A85" t="s">
        <v>141</v>
      </c>
      <c r="B85" t="s">
        <v>118</v>
      </c>
      <c r="C85" t="s">
        <v>15</v>
      </c>
      <c r="D85" s="1">
        <v>45077</v>
      </c>
      <c r="E85" s="2">
        <v>0.66666666666666663</v>
      </c>
      <c r="F85" t="s">
        <v>11</v>
      </c>
      <c r="G85" t="s">
        <v>4</v>
      </c>
      <c r="H85" t="s">
        <v>377</v>
      </c>
      <c r="I85" t="s">
        <v>343</v>
      </c>
      <c r="J85" s="3">
        <v>1077.77</v>
      </c>
      <c r="K85" s="1">
        <v>45077</v>
      </c>
      <c r="L85" t="s">
        <v>360</v>
      </c>
      <c r="M85" t="s">
        <v>371</v>
      </c>
      <c r="N85" t="s">
        <v>346</v>
      </c>
      <c r="O85" s="1">
        <v>34072</v>
      </c>
      <c r="P85">
        <v>7039619487</v>
      </c>
      <c r="Q85" t="s">
        <v>357</v>
      </c>
      <c r="R85">
        <v>45116</v>
      </c>
      <c r="S85" t="s">
        <v>358</v>
      </c>
      <c r="T85" t="s">
        <v>453</v>
      </c>
      <c r="U85" t="s">
        <v>344</v>
      </c>
      <c r="V85" t="s">
        <v>374</v>
      </c>
      <c r="W85" t="s">
        <v>310</v>
      </c>
      <c r="X85">
        <v>6570137231</v>
      </c>
      <c r="Y85">
        <v>23</v>
      </c>
      <c r="Z85" t="s">
        <v>297</v>
      </c>
      <c r="AA85" t="s">
        <v>454</v>
      </c>
      <c r="AB85" s="1">
        <v>45077</v>
      </c>
      <c r="AC85" s="3">
        <v>3815.93</v>
      </c>
      <c r="AD85" t="s">
        <v>311</v>
      </c>
      <c r="AE85" t="s">
        <v>363</v>
      </c>
    </row>
    <row r="86" spans="1:31" x14ac:dyDescent="0.3">
      <c r="A86" t="s">
        <v>142</v>
      </c>
      <c r="B86" t="s">
        <v>83</v>
      </c>
      <c r="C86" t="s">
        <v>52</v>
      </c>
      <c r="D86" s="1">
        <v>44975</v>
      </c>
      <c r="E86" s="2">
        <v>0.67708333333333337</v>
      </c>
      <c r="F86" t="s">
        <v>31</v>
      </c>
      <c r="G86" t="s">
        <v>12</v>
      </c>
      <c r="H86" t="s">
        <v>377</v>
      </c>
      <c r="I86" t="s">
        <v>354</v>
      </c>
      <c r="J86" s="3">
        <v>968.49</v>
      </c>
      <c r="K86" s="1">
        <v>44975</v>
      </c>
      <c r="L86" t="s">
        <v>383</v>
      </c>
      <c r="M86" t="s">
        <v>432</v>
      </c>
      <c r="N86" t="s">
        <v>356</v>
      </c>
      <c r="O86" s="1">
        <v>34387</v>
      </c>
      <c r="P86">
        <v>6141951830</v>
      </c>
      <c r="Q86" t="s">
        <v>386</v>
      </c>
      <c r="R86">
        <v>44557</v>
      </c>
      <c r="S86" t="s">
        <v>348</v>
      </c>
      <c r="T86" t="s">
        <v>433</v>
      </c>
      <c r="U86" t="s">
        <v>360</v>
      </c>
      <c r="V86" t="s">
        <v>391</v>
      </c>
      <c r="W86" t="s">
        <v>308</v>
      </c>
      <c r="X86">
        <v>8322010158</v>
      </c>
      <c r="Y86">
        <v>17</v>
      </c>
      <c r="Z86" t="s">
        <v>299</v>
      </c>
      <c r="AA86" t="s">
        <v>434</v>
      </c>
      <c r="AB86" s="1">
        <v>45033</v>
      </c>
      <c r="AC86" s="3">
        <v>2976.02</v>
      </c>
      <c r="AD86" t="s">
        <v>317</v>
      </c>
      <c r="AE86" t="s">
        <v>376</v>
      </c>
    </row>
    <row r="87" spans="1:31" x14ac:dyDescent="0.3">
      <c r="A87" t="s">
        <v>143</v>
      </c>
      <c r="B87" t="s">
        <v>144</v>
      </c>
      <c r="C87" t="s">
        <v>41</v>
      </c>
      <c r="D87" s="1">
        <v>45228</v>
      </c>
      <c r="E87" s="2">
        <v>0.45833333333333331</v>
      </c>
      <c r="F87" t="s">
        <v>11</v>
      </c>
      <c r="G87" t="s">
        <v>12</v>
      </c>
      <c r="H87" t="s">
        <v>389</v>
      </c>
      <c r="I87" t="s">
        <v>364</v>
      </c>
      <c r="J87" s="3">
        <v>3759.52</v>
      </c>
      <c r="K87" s="1">
        <v>45228</v>
      </c>
      <c r="L87" t="s">
        <v>381</v>
      </c>
      <c r="M87" t="s">
        <v>361</v>
      </c>
      <c r="N87" t="s">
        <v>356</v>
      </c>
      <c r="O87" s="1">
        <v>33359</v>
      </c>
      <c r="P87">
        <v>6158428240</v>
      </c>
      <c r="Q87" t="s">
        <v>379</v>
      </c>
      <c r="R87">
        <v>44830</v>
      </c>
      <c r="S87" t="s">
        <v>348</v>
      </c>
      <c r="T87" t="s">
        <v>461</v>
      </c>
      <c r="U87" t="s">
        <v>381</v>
      </c>
      <c r="V87" t="s">
        <v>374</v>
      </c>
      <c r="W87" t="s">
        <v>310</v>
      </c>
      <c r="X87">
        <v>9004382050</v>
      </c>
      <c r="Y87">
        <v>24</v>
      </c>
      <c r="Z87" t="s">
        <v>298</v>
      </c>
      <c r="AA87" t="s">
        <v>462</v>
      </c>
      <c r="AB87" s="1">
        <v>45228</v>
      </c>
      <c r="AC87" s="3">
        <v>3759.52</v>
      </c>
      <c r="AD87" t="s">
        <v>311</v>
      </c>
      <c r="AE87" t="s">
        <v>352</v>
      </c>
    </row>
    <row r="88" spans="1:31" x14ac:dyDescent="0.3">
      <c r="A88" t="s">
        <v>145</v>
      </c>
      <c r="B88" t="s">
        <v>45</v>
      </c>
      <c r="C88" t="s">
        <v>52</v>
      </c>
      <c r="D88" s="1">
        <v>45218</v>
      </c>
      <c r="E88" s="2">
        <v>0.51041666666666663</v>
      </c>
      <c r="F88" t="s">
        <v>31</v>
      </c>
      <c r="G88" t="s">
        <v>12</v>
      </c>
      <c r="H88" t="s">
        <v>377</v>
      </c>
      <c r="I88" t="s">
        <v>354</v>
      </c>
      <c r="J88" s="3">
        <v>3102.74</v>
      </c>
      <c r="K88" s="1">
        <v>45218</v>
      </c>
      <c r="L88" t="s">
        <v>398</v>
      </c>
      <c r="M88" t="s">
        <v>391</v>
      </c>
      <c r="N88" t="s">
        <v>356</v>
      </c>
      <c r="O88" s="1">
        <v>37953</v>
      </c>
      <c r="P88">
        <v>9900972256</v>
      </c>
      <c r="Q88" t="s">
        <v>357</v>
      </c>
      <c r="R88">
        <v>44329</v>
      </c>
      <c r="S88" t="s">
        <v>358</v>
      </c>
      <c r="T88" t="s">
        <v>409</v>
      </c>
      <c r="U88" t="s">
        <v>360</v>
      </c>
      <c r="V88" t="s">
        <v>391</v>
      </c>
      <c r="W88" t="s">
        <v>308</v>
      </c>
      <c r="X88">
        <v>8322010158</v>
      </c>
      <c r="Y88">
        <v>17</v>
      </c>
      <c r="Z88" t="s">
        <v>299</v>
      </c>
      <c r="AA88" t="s">
        <v>410</v>
      </c>
      <c r="AB88" s="1">
        <v>44941</v>
      </c>
      <c r="AC88" s="3">
        <v>956.39</v>
      </c>
      <c r="AD88" t="s">
        <v>317</v>
      </c>
      <c r="AE88" t="s">
        <v>352</v>
      </c>
    </row>
    <row r="89" spans="1:31" x14ac:dyDescent="0.3">
      <c r="A89" t="s">
        <v>146</v>
      </c>
      <c r="B89" t="s">
        <v>147</v>
      </c>
      <c r="C89" t="s">
        <v>67</v>
      </c>
      <c r="D89" s="1">
        <v>45048</v>
      </c>
      <c r="E89" s="2">
        <v>0.6875</v>
      </c>
      <c r="F89" t="s">
        <v>22</v>
      </c>
      <c r="G89" t="s">
        <v>34</v>
      </c>
      <c r="H89" t="s">
        <v>389</v>
      </c>
      <c r="I89" t="s">
        <v>354</v>
      </c>
      <c r="J89" s="3">
        <v>1733.72</v>
      </c>
      <c r="K89" s="1">
        <v>45048</v>
      </c>
      <c r="L89" t="s">
        <v>360</v>
      </c>
      <c r="M89" t="s">
        <v>374</v>
      </c>
      <c r="N89" t="s">
        <v>346</v>
      </c>
      <c r="O89" s="1">
        <v>27946</v>
      </c>
      <c r="P89">
        <v>7090558393</v>
      </c>
      <c r="Q89" t="s">
        <v>379</v>
      </c>
      <c r="R89">
        <v>44341</v>
      </c>
      <c r="S89" t="s">
        <v>348</v>
      </c>
      <c r="T89" t="s">
        <v>463</v>
      </c>
      <c r="U89" t="s">
        <v>350</v>
      </c>
      <c r="V89" t="s">
        <v>391</v>
      </c>
      <c r="W89" t="s">
        <v>308</v>
      </c>
      <c r="X89">
        <v>9118538547</v>
      </c>
      <c r="Y89">
        <v>26</v>
      </c>
      <c r="Z89" t="s">
        <v>297</v>
      </c>
      <c r="AA89" t="s">
        <v>464</v>
      </c>
      <c r="AB89" s="1">
        <v>45048</v>
      </c>
      <c r="AC89" s="3">
        <v>1733.72</v>
      </c>
      <c r="AD89" t="s">
        <v>311</v>
      </c>
      <c r="AE89" t="s">
        <v>363</v>
      </c>
    </row>
    <row r="90" spans="1:31" x14ac:dyDescent="0.3">
      <c r="A90" t="s">
        <v>148</v>
      </c>
      <c r="B90" t="s">
        <v>38</v>
      </c>
      <c r="C90" t="s">
        <v>28</v>
      </c>
      <c r="D90" s="1">
        <v>44971</v>
      </c>
      <c r="E90" s="2">
        <v>0.45833333333333331</v>
      </c>
      <c r="F90" t="s">
        <v>11</v>
      </c>
      <c r="G90" t="s">
        <v>34</v>
      </c>
      <c r="H90" t="s">
        <v>342</v>
      </c>
      <c r="I90" t="s">
        <v>343</v>
      </c>
      <c r="J90" s="3">
        <v>857.39</v>
      </c>
      <c r="K90" s="1">
        <v>44971</v>
      </c>
      <c r="L90" t="s">
        <v>360</v>
      </c>
      <c r="M90" t="s">
        <v>345</v>
      </c>
      <c r="N90" t="s">
        <v>356</v>
      </c>
      <c r="O90" s="1">
        <v>38487</v>
      </c>
      <c r="P90">
        <v>8923607677</v>
      </c>
      <c r="Q90" t="s">
        <v>386</v>
      </c>
      <c r="R90">
        <v>45035</v>
      </c>
      <c r="S90" t="s">
        <v>372</v>
      </c>
      <c r="T90" t="s">
        <v>402</v>
      </c>
      <c r="U90" t="s">
        <v>383</v>
      </c>
      <c r="V90" t="s">
        <v>371</v>
      </c>
      <c r="W90" t="s">
        <v>309</v>
      </c>
      <c r="X90">
        <v>6176383634</v>
      </c>
      <c r="Y90">
        <v>21</v>
      </c>
      <c r="Z90" t="s">
        <v>298</v>
      </c>
      <c r="AA90" t="s">
        <v>403</v>
      </c>
      <c r="AB90" s="1">
        <v>45053</v>
      </c>
      <c r="AC90" s="3">
        <v>771.2</v>
      </c>
      <c r="AD90" t="s">
        <v>317</v>
      </c>
      <c r="AE90" t="s">
        <v>352</v>
      </c>
    </row>
    <row r="91" spans="1:31" x14ac:dyDescent="0.3">
      <c r="A91" t="s">
        <v>149</v>
      </c>
      <c r="B91" t="s">
        <v>45</v>
      </c>
      <c r="C91" t="s">
        <v>2</v>
      </c>
      <c r="D91" s="1">
        <v>45078</v>
      </c>
      <c r="E91" s="2">
        <v>0.72916666666666663</v>
      </c>
      <c r="F91" t="s">
        <v>19</v>
      </c>
      <c r="G91" t="s">
        <v>8</v>
      </c>
      <c r="H91" t="s">
        <v>413</v>
      </c>
      <c r="I91" t="s">
        <v>354</v>
      </c>
      <c r="J91" s="3">
        <v>885.46</v>
      </c>
      <c r="K91" s="1">
        <v>45078</v>
      </c>
      <c r="L91" t="s">
        <v>398</v>
      </c>
      <c r="M91" t="s">
        <v>391</v>
      </c>
      <c r="N91" t="s">
        <v>356</v>
      </c>
      <c r="O91" s="1">
        <v>37953</v>
      </c>
      <c r="P91">
        <v>9900972256</v>
      </c>
      <c r="Q91" t="s">
        <v>357</v>
      </c>
      <c r="R91">
        <v>44329</v>
      </c>
      <c r="S91" t="s">
        <v>358</v>
      </c>
      <c r="T91" t="s">
        <v>409</v>
      </c>
      <c r="U91" t="s">
        <v>350</v>
      </c>
      <c r="V91" t="s">
        <v>345</v>
      </c>
      <c r="W91" t="s">
        <v>310</v>
      </c>
      <c r="X91">
        <v>7387087517</v>
      </c>
      <c r="Y91">
        <v>26</v>
      </c>
      <c r="Z91" t="s">
        <v>297</v>
      </c>
      <c r="AA91" t="s">
        <v>410</v>
      </c>
      <c r="AB91" s="1">
        <v>44941</v>
      </c>
      <c r="AC91" s="3">
        <v>956.39</v>
      </c>
      <c r="AD91" t="s">
        <v>317</v>
      </c>
      <c r="AE91" t="s">
        <v>352</v>
      </c>
    </row>
    <row r="92" spans="1:31" x14ac:dyDescent="0.3">
      <c r="A92" t="s">
        <v>150</v>
      </c>
      <c r="B92" t="s">
        <v>85</v>
      </c>
      <c r="C92" t="s">
        <v>15</v>
      </c>
      <c r="D92" s="1">
        <v>45088</v>
      </c>
      <c r="E92" s="2">
        <v>0.55208333333333337</v>
      </c>
      <c r="F92" t="s">
        <v>19</v>
      </c>
      <c r="G92" t="s">
        <v>12</v>
      </c>
      <c r="H92" t="s">
        <v>413</v>
      </c>
      <c r="I92" t="s">
        <v>364</v>
      </c>
      <c r="J92" s="3">
        <v>4523.8599999999997</v>
      </c>
      <c r="K92" s="1">
        <v>45088</v>
      </c>
      <c r="L92" t="s">
        <v>390</v>
      </c>
      <c r="M92" t="s">
        <v>391</v>
      </c>
      <c r="N92" t="s">
        <v>356</v>
      </c>
      <c r="O92" s="1">
        <v>37177</v>
      </c>
      <c r="P92">
        <v>7081396733</v>
      </c>
      <c r="Q92" t="s">
        <v>357</v>
      </c>
      <c r="R92">
        <v>44797</v>
      </c>
      <c r="S92" t="s">
        <v>348</v>
      </c>
      <c r="T92" t="s">
        <v>435</v>
      </c>
      <c r="U92" t="s">
        <v>344</v>
      </c>
      <c r="V92" t="s">
        <v>374</v>
      </c>
      <c r="W92" t="s">
        <v>310</v>
      </c>
      <c r="X92">
        <v>6570137231</v>
      </c>
      <c r="Y92">
        <v>23</v>
      </c>
      <c r="Z92" t="s">
        <v>297</v>
      </c>
      <c r="AA92" t="s">
        <v>436</v>
      </c>
      <c r="AB92" s="1">
        <v>45012</v>
      </c>
      <c r="AC92" s="3">
        <v>695.36</v>
      </c>
      <c r="AD92" t="s">
        <v>311</v>
      </c>
      <c r="AE92" t="s">
        <v>376</v>
      </c>
    </row>
    <row r="93" spans="1:31" x14ac:dyDescent="0.3">
      <c r="A93" t="s">
        <v>151</v>
      </c>
      <c r="B93" t="s">
        <v>45</v>
      </c>
      <c r="C93" t="s">
        <v>52</v>
      </c>
      <c r="D93" s="1">
        <v>44956</v>
      </c>
      <c r="E93" s="2">
        <v>0.59375</v>
      </c>
      <c r="F93" t="s">
        <v>3</v>
      </c>
      <c r="G93" t="s">
        <v>4</v>
      </c>
      <c r="H93" t="s">
        <v>413</v>
      </c>
      <c r="I93" t="s">
        <v>364</v>
      </c>
      <c r="J93" s="3">
        <v>1363.4</v>
      </c>
      <c r="K93" s="1">
        <v>44956</v>
      </c>
      <c r="L93" t="s">
        <v>398</v>
      </c>
      <c r="M93" t="s">
        <v>391</v>
      </c>
      <c r="N93" t="s">
        <v>356</v>
      </c>
      <c r="O93" s="1">
        <v>37953</v>
      </c>
      <c r="P93">
        <v>9900972256</v>
      </c>
      <c r="Q93" t="s">
        <v>357</v>
      </c>
      <c r="R93">
        <v>44329</v>
      </c>
      <c r="S93" t="s">
        <v>358</v>
      </c>
      <c r="T93" t="s">
        <v>409</v>
      </c>
      <c r="U93" t="s">
        <v>360</v>
      </c>
      <c r="V93" t="s">
        <v>391</v>
      </c>
      <c r="W93" t="s">
        <v>308</v>
      </c>
      <c r="X93">
        <v>8322010158</v>
      </c>
      <c r="Y93">
        <v>17</v>
      </c>
      <c r="Z93" t="s">
        <v>299</v>
      </c>
      <c r="AA93" t="s">
        <v>410</v>
      </c>
      <c r="AB93" s="1">
        <v>44941</v>
      </c>
      <c r="AC93" s="3">
        <v>956.39</v>
      </c>
      <c r="AD93" t="s">
        <v>317</v>
      </c>
      <c r="AE93" t="s">
        <v>352</v>
      </c>
    </row>
    <row r="94" spans="1:31" x14ac:dyDescent="0.3">
      <c r="A94" t="s">
        <v>152</v>
      </c>
      <c r="B94" t="s">
        <v>1</v>
      </c>
      <c r="C94" t="s">
        <v>52</v>
      </c>
      <c r="D94" s="1">
        <v>45025</v>
      </c>
      <c r="E94" s="2">
        <v>0.39583333333333331</v>
      </c>
      <c r="F94" t="s">
        <v>31</v>
      </c>
      <c r="G94" t="s">
        <v>34</v>
      </c>
      <c r="H94" t="s">
        <v>413</v>
      </c>
      <c r="I94" t="s">
        <v>343</v>
      </c>
      <c r="J94" s="3">
        <v>1955.17</v>
      </c>
      <c r="K94" s="1">
        <v>45025</v>
      </c>
      <c r="L94" t="s">
        <v>344</v>
      </c>
      <c r="M94" t="s">
        <v>345</v>
      </c>
      <c r="N94" t="s">
        <v>346</v>
      </c>
      <c r="O94" s="1">
        <v>18289</v>
      </c>
      <c r="P94">
        <v>8374657733</v>
      </c>
      <c r="Q94" t="s">
        <v>347</v>
      </c>
      <c r="R94">
        <v>45095</v>
      </c>
      <c r="S94" t="s">
        <v>348</v>
      </c>
      <c r="T94" t="s">
        <v>349</v>
      </c>
      <c r="U94" t="s">
        <v>360</v>
      </c>
      <c r="V94" t="s">
        <v>391</v>
      </c>
      <c r="W94" t="s">
        <v>308</v>
      </c>
      <c r="X94">
        <v>8322010158</v>
      </c>
      <c r="Y94">
        <v>17</v>
      </c>
      <c r="Z94" t="s">
        <v>299</v>
      </c>
      <c r="AA94" t="s">
        <v>351</v>
      </c>
      <c r="AB94" s="1">
        <v>45147</v>
      </c>
      <c r="AC94" s="3">
        <v>3941.97</v>
      </c>
      <c r="AD94" t="s">
        <v>317</v>
      </c>
      <c r="AE94" t="s">
        <v>352</v>
      </c>
    </row>
    <row r="95" spans="1:31" x14ac:dyDescent="0.3">
      <c r="A95" t="s">
        <v>153</v>
      </c>
      <c r="B95" t="s">
        <v>154</v>
      </c>
      <c r="C95" t="s">
        <v>41</v>
      </c>
      <c r="D95" s="1">
        <v>45024</v>
      </c>
      <c r="E95" s="2">
        <v>0.36458333333333331</v>
      </c>
      <c r="F95" t="s">
        <v>11</v>
      </c>
      <c r="G95" t="s">
        <v>12</v>
      </c>
      <c r="H95" t="s">
        <v>413</v>
      </c>
      <c r="I95" t="s">
        <v>364</v>
      </c>
      <c r="J95" s="3">
        <v>1519.95</v>
      </c>
      <c r="K95" s="1">
        <v>45024</v>
      </c>
      <c r="L95" t="s">
        <v>370</v>
      </c>
      <c r="M95" t="s">
        <v>378</v>
      </c>
      <c r="N95" t="s">
        <v>356</v>
      </c>
      <c r="O95" s="1">
        <v>18798</v>
      </c>
      <c r="P95">
        <v>7020645498</v>
      </c>
      <c r="Q95" t="s">
        <v>379</v>
      </c>
      <c r="R95">
        <v>44758</v>
      </c>
      <c r="S95" t="s">
        <v>348</v>
      </c>
      <c r="T95" t="s">
        <v>465</v>
      </c>
      <c r="U95" t="s">
        <v>381</v>
      </c>
      <c r="V95" t="s">
        <v>374</v>
      </c>
      <c r="W95" t="s">
        <v>310</v>
      </c>
      <c r="X95">
        <v>9004382050</v>
      </c>
      <c r="Y95">
        <v>24</v>
      </c>
      <c r="Z95" t="s">
        <v>298</v>
      </c>
      <c r="AA95" t="s">
        <v>466</v>
      </c>
      <c r="AB95" s="1">
        <v>45024</v>
      </c>
      <c r="AC95" s="3">
        <v>1519.95</v>
      </c>
      <c r="AD95" t="s">
        <v>311</v>
      </c>
      <c r="AE95" t="s">
        <v>376</v>
      </c>
    </row>
    <row r="96" spans="1:31" x14ac:dyDescent="0.3">
      <c r="A96" t="s">
        <v>155</v>
      </c>
      <c r="B96" t="s">
        <v>156</v>
      </c>
      <c r="C96" t="s">
        <v>2</v>
      </c>
      <c r="D96" s="1">
        <v>45055</v>
      </c>
      <c r="E96" s="2">
        <v>0.42708333333333331</v>
      </c>
      <c r="F96" t="s">
        <v>3</v>
      </c>
      <c r="G96" t="s">
        <v>12</v>
      </c>
      <c r="H96" t="s">
        <v>413</v>
      </c>
      <c r="I96" t="s">
        <v>354</v>
      </c>
      <c r="J96" s="3">
        <v>2097.48</v>
      </c>
      <c r="K96" s="1">
        <v>45055</v>
      </c>
      <c r="L96" t="s">
        <v>344</v>
      </c>
      <c r="M96" t="s">
        <v>432</v>
      </c>
      <c r="N96" t="s">
        <v>346</v>
      </c>
      <c r="O96" s="1">
        <v>32667</v>
      </c>
      <c r="P96">
        <v>6278710077</v>
      </c>
      <c r="Q96" t="s">
        <v>386</v>
      </c>
      <c r="R96">
        <v>44555</v>
      </c>
      <c r="S96" t="s">
        <v>358</v>
      </c>
      <c r="T96" t="s">
        <v>467</v>
      </c>
      <c r="U96" t="s">
        <v>350</v>
      </c>
      <c r="V96" t="s">
        <v>345</v>
      </c>
      <c r="W96" t="s">
        <v>310</v>
      </c>
      <c r="X96">
        <v>7387087517</v>
      </c>
      <c r="Y96">
        <v>26</v>
      </c>
      <c r="Z96" t="s">
        <v>297</v>
      </c>
      <c r="AA96" t="s">
        <v>468</v>
      </c>
      <c r="AB96" s="1">
        <v>45055</v>
      </c>
      <c r="AC96" s="3">
        <v>2097.48</v>
      </c>
      <c r="AD96" t="s">
        <v>311</v>
      </c>
      <c r="AE96" t="s">
        <v>376</v>
      </c>
    </row>
    <row r="97" spans="1:31" x14ac:dyDescent="0.3">
      <c r="A97" t="s">
        <v>157</v>
      </c>
      <c r="B97" t="s">
        <v>99</v>
      </c>
      <c r="C97" t="s">
        <v>18</v>
      </c>
      <c r="D97" s="1">
        <v>45114</v>
      </c>
      <c r="E97" s="2">
        <v>0.625</v>
      </c>
      <c r="F97" t="s">
        <v>11</v>
      </c>
      <c r="G97" t="s">
        <v>34</v>
      </c>
      <c r="H97" t="s">
        <v>413</v>
      </c>
      <c r="I97" t="s">
        <v>364</v>
      </c>
      <c r="J97" s="3">
        <v>812.41</v>
      </c>
      <c r="K97" s="1">
        <v>45114</v>
      </c>
      <c r="L97" t="s">
        <v>390</v>
      </c>
      <c r="M97" t="s">
        <v>432</v>
      </c>
      <c r="N97" t="s">
        <v>346</v>
      </c>
      <c r="O97" s="1">
        <v>29637</v>
      </c>
      <c r="P97">
        <v>9019443432</v>
      </c>
      <c r="Q97" t="s">
        <v>357</v>
      </c>
      <c r="R97">
        <v>44257</v>
      </c>
      <c r="S97" t="s">
        <v>372</v>
      </c>
      <c r="T97" t="s">
        <v>441</v>
      </c>
      <c r="U97" t="s">
        <v>381</v>
      </c>
      <c r="V97" t="s">
        <v>345</v>
      </c>
      <c r="W97" t="s">
        <v>310</v>
      </c>
      <c r="X97">
        <v>8737740598</v>
      </c>
      <c r="Y97">
        <v>19</v>
      </c>
      <c r="Z97" t="s">
        <v>298</v>
      </c>
      <c r="AA97" t="s">
        <v>442</v>
      </c>
      <c r="AB97" s="1">
        <v>44961</v>
      </c>
      <c r="AC97" s="3">
        <v>4550.1000000000004</v>
      </c>
      <c r="AD97" t="s">
        <v>316</v>
      </c>
      <c r="AE97" t="s">
        <v>376</v>
      </c>
    </row>
    <row r="98" spans="1:31" x14ac:dyDescent="0.3">
      <c r="A98" t="s">
        <v>158</v>
      </c>
      <c r="B98" t="s">
        <v>116</v>
      </c>
      <c r="C98" t="s">
        <v>52</v>
      </c>
      <c r="D98" s="1">
        <v>45052</v>
      </c>
      <c r="E98" s="2">
        <v>0.61458333333333337</v>
      </c>
      <c r="F98" t="s">
        <v>31</v>
      </c>
      <c r="G98" t="s">
        <v>8</v>
      </c>
      <c r="H98" t="s">
        <v>342</v>
      </c>
      <c r="I98" t="s">
        <v>343</v>
      </c>
      <c r="J98" s="3">
        <v>2835.77</v>
      </c>
      <c r="K98" s="1">
        <v>45052</v>
      </c>
      <c r="L98" t="s">
        <v>404</v>
      </c>
      <c r="M98" t="s">
        <v>371</v>
      </c>
      <c r="N98" t="s">
        <v>356</v>
      </c>
      <c r="O98" s="1">
        <v>34330</v>
      </c>
      <c r="P98">
        <v>8301134730</v>
      </c>
      <c r="Q98" t="s">
        <v>347</v>
      </c>
      <c r="R98">
        <v>45044</v>
      </c>
      <c r="S98" t="s">
        <v>348</v>
      </c>
      <c r="T98" t="s">
        <v>451</v>
      </c>
      <c r="U98" t="s">
        <v>360</v>
      </c>
      <c r="V98" t="s">
        <v>391</v>
      </c>
      <c r="W98" t="s">
        <v>308</v>
      </c>
      <c r="X98">
        <v>8322010158</v>
      </c>
      <c r="Y98">
        <v>17</v>
      </c>
      <c r="Z98" t="s">
        <v>299</v>
      </c>
      <c r="AA98" t="s">
        <v>452</v>
      </c>
      <c r="AB98" s="1">
        <v>45106</v>
      </c>
      <c r="AC98" s="3">
        <v>1256.06</v>
      </c>
      <c r="AD98" t="s">
        <v>317</v>
      </c>
      <c r="AE98" t="s">
        <v>376</v>
      </c>
    </row>
    <row r="99" spans="1:31" x14ac:dyDescent="0.3">
      <c r="A99" t="s">
        <v>159</v>
      </c>
      <c r="B99" t="s">
        <v>21</v>
      </c>
      <c r="C99" t="s">
        <v>67</v>
      </c>
      <c r="D99" s="1">
        <v>45002</v>
      </c>
      <c r="E99" s="2">
        <v>0.54166666666666663</v>
      </c>
      <c r="F99" t="s">
        <v>19</v>
      </c>
      <c r="G99" t="s">
        <v>34</v>
      </c>
      <c r="H99" t="s">
        <v>377</v>
      </c>
      <c r="I99" t="s">
        <v>354</v>
      </c>
      <c r="J99" s="3">
        <v>804.26</v>
      </c>
      <c r="K99" s="1">
        <v>45002</v>
      </c>
      <c r="L99" t="s">
        <v>383</v>
      </c>
      <c r="M99" t="s">
        <v>366</v>
      </c>
      <c r="N99" t="s">
        <v>346</v>
      </c>
      <c r="O99" s="1">
        <v>24222</v>
      </c>
      <c r="P99">
        <v>7579616535</v>
      </c>
      <c r="Q99" t="s">
        <v>347</v>
      </c>
      <c r="R99">
        <v>44219</v>
      </c>
      <c r="S99" t="s">
        <v>358</v>
      </c>
      <c r="T99" t="s">
        <v>384</v>
      </c>
      <c r="U99" t="s">
        <v>350</v>
      </c>
      <c r="V99" t="s">
        <v>391</v>
      </c>
      <c r="W99" t="s">
        <v>308</v>
      </c>
      <c r="X99">
        <v>9118538547</v>
      </c>
      <c r="Y99">
        <v>26</v>
      </c>
      <c r="Z99" t="s">
        <v>297</v>
      </c>
      <c r="AA99" t="s">
        <v>385</v>
      </c>
      <c r="AB99" s="1">
        <v>45096</v>
      </c>
      <c r="AC99" s="3">
        <v>1381</v>
      </c>
      <c r="AD99" t="s">
        <v>317</v>
      </c>
      <c r="AE99" t="s">
        <v>352</v>
      </c>
    </row>
    <row r="100" spans="1:31" x14ac:dyDescent="0.3">
      <c r="A100" t="s">
        <v>160</v>
      </c>
      <c r="B100" t="s">
        <v>161</v>
      </c>
      <c r="C100" t="s">
        <v>25</v>
      </c>
      <c r="D100" s="1">
        <v>45111</v>
      </c>
      <c r="E100" s="2">
        <v>0.625</v>
      </c>
      <c r="F100" t="s">
        <v>22</v>
      </c>
      <c r="G100" t="s">
        <v>34</v>
      </c>
      <c r="H100" t="s">
        <v>353</v>
      </c>
      <c r="I100" t="s">
        <v>343</v>
      </c>
      <c r="J100" s="3">
        <v>4101.6000000000004</v>
      </c>
      <c r="K100" s="1">
        <v>45111</v>
      </c>
      <c r="L100" t="s">
        <v>365</v>
      </c>
      <c r="M100" t="s">
        <v>361</v>
      </c>
      <c r="N100" t="s">
        <v>346</v>
      </c>
      <c r="O100" s="1">
        <v>24445</v>
      </c>
      <c r="P100">
        <v>8990604070</v>
      </c>
      <c r="Q100" t="s">
        <v>386</v>
      </c>
      <c r="R100">
        <v>44831</v>
      </c>
      <c r="S100" t="s">
        <v>358</v>
      </c>
      <c r="T100" t="s">
        <v>469</v>
      </c>
      <c r="U100" t="s">
        <v>370</v>
      </c>
      <c r="V100" t="s">
        <v>374</v>
      </c>
      <c r="W100" t="s">
        <v>309</v>
      </c>
      <c r="X100">
        <v>8217493115</v>
      </c>
      <c r="Y100">
        <v>26</v>
      </c>
      <c r="Z100" t="s">
        <v>299</v>
      </c>
      <c r="AA100" t="s">
        <v>470</v>
      </c>
      <c r="AB100" s="1">
        <v>45111</v>
      </c>
      <c r="AC100" s="3">
        <v>4101.6000000000004</v>
      </c>
      <c r="AD100" t="s">
        <v>316</v>
      </c>
      <c r="AE100" t="s">
        <v>352</v>
      </c>
    </row>
    <row r="101" spans="1:31" x14ac:dyDescent="0.3">
      <c r="A101" t="s">
        <v>162</v>
      </c>
      <c r="B101" t="s">
        <v>38</v>
      </c>
      <c r="C101" t="s">
        <v>15</v>
      </c>
      <c r="D101" s="1">
        <v>44987</v>
      </c>
      <c r="E101" s="2">
        <v>0.33333333333333331</v>
      </c>
      <c r="F101" t="s">
        <v>19</v>
      </c>
      <c r="G101" t="s">
        <v>4</v>
      </c>
      <c r="H101" t="s">
        <v>389</v>
      </c>
      <c r="I101" t="s">
        <v>354</v>
      </c>
      <c r="J101" s="3">
        <v>1551.7</v>
      </c>
      <c r="K101" s="1">
        <v>44987</v>
      </c>
      <c r="L101" t="s">
        <v>360</v>
      </c>
      <c r="M101" t="s">
        <v>345</v>
      </c>
      <c r="N101" t="s">
        <v>356</v>
      </c>
      <c r="O101" s="1">
        <v>38487</v>
      </c>
      <c r="P101">
        <v>8923607677</v>
      </c>
      <c r="Q101" t="s">
        <v>386</v>
      </c>
      <c r="R101">
        <v>45035</v>
      </c>
      <c r="S101" t="s">
        <v>372</v>
      </c>
      <c r="T101" t="s">
        <v>402</v>
      </c>
      <c r="U101" t="s">
        <v>344</v>
      </c>
      <c r="V101" t="s">
        <v>374</v>
      </c>
      <c r="W101" t="s">
        <v>310</v>
      </c>
      <c r="X101">
        <v>6570137231</v>
      </c>
      <c r="Y101">
        <v>23</v>
      </c>
      <c r="Z101" t="s">
        <v>297</v>
      </c>
      <c r="AA101" t="s">
        <v>403</v>
      </c>
      <c r="AB101" s="1">
        <v>45053</v>
      </c>
      <c r="AC101" s="3">
        <v>771.2</v>
      </c>
      <c r="AD101" t="s">
        <v>317</v>
      </c>
      <c r="AE101" t="s">
        <v>352</v>
      </c>
    </row>
    <row r="102" spans="1:31" x14ac:dyDescent="0.3">
      <c r="A102" t="s">
        <v>163</v>
      </c>
      <c r="B102" t="s">
        <v>77</v>
      </c>
      <c r="C102" t="s">
        <v>52</v>
      </c>
      <c r="D102" s="1">
        <v>45190</v>
      </c>
      <c r="E102" s="2">
        <v>0.55208333333333337</v>
      </c>
      <c r="F102" t="s">
        <v>3</v>
      </c>
      <c r="G102" t="s">
        <v>4</v>
      </c>
      <c r="H102" t="s">
        <v>353</v>
      </c>
      <c r="I102" t="s">
        <v>364</v>
      </c>
      <c r="J102" s="3">
        <v>2930.05</v>
      </c>
      <c r="K102" s="1">
        <v>45190</v>
      </c>
      <c r="L102" t="s">
        <v>390</v>
      </c>
      <c r="M102" t="s">
        <v>371</v>
      </c>
      <c r="N102" t="s">
        <v>356</v>
      </c>
      <c r="O102" s="1">
        <v>35790</v>
      </c>
      <c r="P102">
        <v>8545613046</v>
      </c>
      <c r="Q102" t="s">
        <v>357</v>
      </c>
      <c r="R102">
        <v>44838</v>
      </c>
      <c r="S102" t="s">
        <v>358</v>
      </c>
      <c r="T102" t="s">
        <v>428</v>
      </c>
      <c r="U102" t="s">
        <v>360</v>
      </c>
      <c r="V102" t="s">
        <v>391</v>
      </c>
      <c r="W102" t="s">
        <v>308</v>
      </c>
      <c r="X102">
        <v>8322010158</v>
      </c>
      <c r="Y102">
        <v>17</v>
      </c>
      <c r="Z102" t="s">
        <v>299</v>
      </c>
      <c r="AA102" t="s">
        <v>429</v>
      </c>
      <c r="AB102" s="1">
        <v>45034</v>
      </c>
      <c r="AC102" s="3">
        <v>1654.53</v>
      </c>
      <c r="AD102" t="s">
        <v>317</v>
      </c>
      <c r="AE102" t="s">
        <v>376</v>
      </c>
    </row>
    <row r="103" spans="1:31" x14ac:dyDescent="0.3">
      <c r="A103" t="s">
        <v>164</v>
      </c>
      <c r="B103" t="s">
        <v>14</v>
      </c>
      <c r="C103" t="s">
        <v>67</v>
      </c>
      <c r="D103" s="1">
        <v>45224</v>
      </c>
      <c r="E103" s="2">
        <v>0.375</v>
      </c>
      <c r="F103" t="s">
        <v>22</v>
      </c>
      <c r="G103" t="s">
        <v>8</v>
      </c>
      <c r="H103" t="s">
        <v>353</v>
      </c>
      <c r="I103" t="s">
        <v>343</v>
      </c>
      <c r="J103" s="3">
        <v>4460.3599999999997</v>
      </c>
      <c r="K103" s="1">
        <v>45224</v>
      </c>
      <c r="L103" t="s">
        <v>370</v>
      </c>
      <c r="M103" t="s">
        <v>371</v>
      </c>
      <c r="N103" t="s">
        <v>356</v>
      </c>
      <c r="O103" s="1">
        <v>24333</v>
      </c>
      <c r="P103">
        <v>7482069727</v>
      </c>
      <c r="Q103" t="s">
        <v>357</v>
      </c>
      <c r="R103">
        <v>44448</v>
      </c>
      <c r="S103" t="s">
        <v>372</v>
      </c>
      <c r="T103" t="s">
        <v>373</v>
      </c>
      <c r="U103" t="s">
        <v>350</v>
      </c>
      <c r="V103" t="s">
        <v>391</v>
      </c>
      <c r="W103" t="s">
        <v>308</v>
      </c>
      <c r="X103">
        <v>9118538547</v>
      </c>
      <c r="Y103">
        <v>26</v>
      </c>
      <c r="Z103" t="s">
        <v>297</v>
      </c>
      <c r="AA103" t="s">
        <v>375</v>
      </c>
      <c r="AB103" s="1">
        <v>45170</v>
      </c>
      <c r="AC103" s="3">
        <v>4799.8599999999997</v>
      </c>
      <c r="AD103" t="s">
        <v>317</v>
      </c>
      <c r="AE103" t="s">
        <v>376</v>
      </c>
    </row>
    <row r="104" spans="1:31" x14ac:dyDescent="0.3">
      <c r="A104" t="s">
        <v>165</v>
      </c>
      <c r="B104" t="s">
        <v>74</v>
      </c>
      <c r="C104" t="s">
        <v>67</v>
      </c>
      <c r="D104" s="1">
        <v>44950</v>
      </c>
      <c r="E104" s="2">
        <v>0.35416666666666669</v>
      </c>
      <c r="F104" t="s">
        <v>3</v>
      </c>
      <c r="G104" t="s">
        <v>12</v>
      </c>
      <c r="H104" t="s">
        <v>377</v>
      </c>
      <c r="I104" t="s">
        <v>343</v>
      </c>
      <c r="J104" s="3">
        <v>3428.95</v>
      </c>
      <c r="K104" s="1">
        <v>44950</v>
      </c>
      <c r="L104" t="s">
        <v>390</v>
      </c>
      <c r="M104" t="s">
        <v>371</v>
      </c>
      <c r="N104" t="s">
        <v>356</v>
      </c>
      <c r="O104" s="1">
        <v>37316</v>
      </c>
      <c r="P104">
        <v>7765390555</v>
      </c>
      <c r="Q104" t="s">
        <v>347</v>
      </c>
      <c r="R104">
        <v>44580</v>
      </c>
      <c r="S104" t="s">
        <v>348</v>
      </c>
      <c r="T104" t="s">
        <v>426</v>
      </c>
      <c r="U104" t="s">
        <v>350</v>
      </c>
      <c r="V104" t="s">
        <v>391</v>
      </c>
      <c r="W104" t="s">
        <v>308</v>
      </c>
      <c r="X104">
        <v>9118538547</v>
      </c>
      <c r="Y104">
        <v>26</v>
      </c>
      <c r="Z104" t="s">
        <v>297</v>
      </c>
      <c r="AA104" t="s">
        <v>427</v>
      </c>
      <c r="AB104" s="1">
        <v>45192</v>
      </c>
      <c r="AC104" s="3">
        <v>980.95</v>
      </c>
      <c r="AD104" t="s">
        <v>316</v>
      </c>
      <c r="AE104" t="s">
        <v>363</v>
      </c>
    </row>
    <row r="105" spans="1:31" x14ac:dyDescent="0.3">
      <c r="A105" t="s">
        <v>166</v>
      </c>
      <c r="B105" t="s">
        <v>77</v>
      </c>
      <c r="C105" t="s">
        <v>15</v>
      </c>
      <c r="D105" s="1">
        <v>45034</v>
      </c>
      <c r="E105" s="2">
        <v>0.36458333333333331</v>
      </c>
      <c r="F105" t="s">
        <v>31</v>
      </c>
      <c r="G105" t="s">
        <v>34</v>
      </c>
      <c r="H105" t="s">
        <v>377</v>
      </c>
      <c r="I105" t="s">
        <v>354</v>
      </c>
      <c r="J105" s="3">
        <v>2898.31</v>
      </c>
      <c r="K105" s="1">
        <v>45034</v>
      </c>
      <c r="L105" t="s">
        <v>390</v>
      </c>
      <c r="M105" t="s">
        <v>371</v>
      </c>
      <c r="N105" t="s">
        <v>356</v>
      </c>
      <c r="O105" s="1">
        <v>35790</v>
      </c>
      <c r="P105">
        <v>8545613046</v>
      </c>
      <c r="Q105" t="s">
        <v>357</v>
      </c>
      <c r="R105">
        <v>44838</v>
      </c>
      <c r="S105" t="s">
        <v>358</v>
      </c>
      <c r="T105" t="s">
        <v>428</v>
      </c>
      <c r="U105" t="s">
        <v>344</v>
      </c>
      <c r="V105" t="s">
        <v>374</v>
      </c>
      <c r="W105" t="s">
        <v>310</v>
      </c>
      <c r="X105">
        <v>6570137231</v>
      </c>
      <c r="Y105">
        <v>23</v>
      </c>
      <c r="Z105" t="s">
        <v>297</v>
      </c>
      <c r="AA105" t="s">
        <v>429</v>
      </c>
      <c r="AB105" s="1">
        <v>45034</v>
      </c>
      <c r="AC105" s="3">
        <v>1654.53</v>
      </c>
      <c r="AD105" t="s">
        <v>317</v>
      </c>
      <c r="AE105" t="s">
        <v>376</v>
      </c>
    </row>
    <row r="106" spans="1:31" x14ac:dyDescent="0.3">
      <c r="A106" t="s">
        <v>167</v>
      </c>
      <c r="B106" t="s">
        <v>85</v>
      </c>
      <c r="C106" t="s">
        <v>18</v>
      </c>
      <c r="D106" s="1">
        <v>45152</v>
      </c>
      <c r="E106" s="2">
        <v>0.66666666666666663</v>
      </c>
      <c r="F106" t="s">
        <v>22</v>
      </c>
      <c r="G106" t="s">
        <v>8</v>
      </c>
      <c r="H106" t="s">
        <v>377</v>
      </c>
      <c r="I106" t="s">
        <v>343</v>
      </c>
      <c r="J106" s="3">
        <v>1959.5</v>
      </c>
      <c r="K106" s="1">
        <v>45152</v>
      </c>
      <c r="L106" t="s">
        <v>390</v>
      </c>
      <c r="M106" t="s">
        <v>391</v>
      </c>
      <c r="N106" t="s">
        <v>356</v>
      </c>
      <c r="O106" s="1">
        <v>37177</v>
      </c>
      <c r="P106">
        <v>7081396733</v>
      </c>
      <c r="Q106" t="s">
        <v>357</v>
      </c>
      <c r="R106">
        <v>44797</v>
      </c>
      <c r="S106" t="s">
        <v>348</v>
      </c>
      <c r="T106" t="s">
        <v>435</v>
      </c>
      <c r="U106" t="s">
        <v>381</v>
      </c>
      <c r="V106" t="s">
        <v>345</v>
      </c>
      <c r="W106" t="s">
        <v>310</v>
      </c>
      <c r="X106">
        <v>8737740598</v>
      </c>
      <c r="Y106">
        <v>19</v>
      </c>
      <c r="Z106" t="s">
        <v>298</v>
      </c>
      <c r="AA106" t="s">
        <v>436</v>
      </c>
      <c r="AB106" s="1">
        <v>45012</v>
      </c>
      <c r="AC106" s="3">
        <v>695.36</v>
      </c>
      <c r="AD106" t="s">
        <v>311</v>
      </c>
      <c r="AE106" t="s">
        <v>376</v>
      </c>
    </row>
    <row r="107" spans="1:31" x14ac:dyDescent="0.3">
      <c r="A107" t="s">
        <v>168</v>
      </c>
      <c r="B107" t="s">
        <v>49</v>
      </c>
      <c r="C107" t="s">
        <v>67</v>
      </c>
      <c r="D107" s="1">
        <v>45228</v>
      </c>
      <c r="E107" s="2">
        <v>0.46875</v>
      </c>
      <c r="F107" t="s">
        <v>3</v>
      </c>
      <c r="G107" t="s">
        <v>4</v>
      </c>
      <c r="H107" t="s">
        <v>413</v>
      </c>
      <c r="I107" t="s">
        <v>354</v>
      </c>
      <c r="J107" s="3">
        <v>1998.51</v>
      </c>
      <c r="K107" s="1">
        <v>45228</v>
      </c>
      <c r="L107" t="s">
        <v>370</v>
      </c>
      <c r="M107" t="s">
        <v>378</v>
      </c>
      <c r="N107" t="s">
        <v>356</v>
      </c>
      <c r="O107" s="1">
        <v>36196</v>
      </c>
      <c r="P107">
        <v>8886800195</v>
      </c>
      <c r="Q107" t="s">
        <v>379</v>
      </c>
      <c r="R107">
        <v>44469</v>
      </c>
      <c r="S107" t="s">
        <v>372</v>
      </c>
      <c r="T107" t="s">
        <v>411</v>
      </c>
      <c r="U107" t="s">
        <v>350</v>
      </c>
      <c r="V107" t="s">
        <v>391</v>
      </c>
      <c r="W107" t="s">
        <v>308</v>
      </c>
      <c r="X107">
        <v>9118538547</v>
      </c>
      <c r="Y107">
        <v>26</v>
      </c>
      <c r="Z107" t="s">
        <v>297</v>
      </c>
      <c r="AA107" t="s">
        <v>412</v>
      </c>
      <c r="AB107" s="1">
        <v>45118</v>
      </c>
      <c r="AC107" s="3">
        <v>1655.49</v>
      </c>
      <c r="AD107" t="s">
        <v>316</v>
      </c>
      <c r="AE107" t="s">
        <v>352</v>
      </c>
    </row>
    <row r="108" spans="1:31" x14ac:dyDescent="0.3">
      <c r="A108" t="s">
        <v>169</v>
      </c>
      <c r="B108" t="s">
        <v>170</v>
      </c>
      <c r="C108" t="s">
        <v>25</v>
      </c>
      <c r="D108" s="1">
        <v>45033</v>
      </c>
      <c r="E108" s="2">
        <v>0.57291666666666663</v>
      </c>
      <c r="F108" t="s">
        <v>31</v>
      </c>
      <c r="G108" t="s">
        <v>34</v>
      </c>
      <c r="H108" t="s">
        <v>342</v>
      </c>
      <c r="I108" t="s">
        <v>354</v>
      </c>
      <c r="J108" s="3">
        <v>3512.69</v>
      </c>
      <c r="K108" s="1">
        <v>45033</v>
      </c>
      <c r="L108" t="s">
        <v>404</v>
      </c>
      <c r="M108" t="s">
        <v>374</v>
      </c>
      <c r="N108" t="s">
        <v>356</v>
      </c>
      <c r="O108" s="1">
        <v>26278</v>
      </c>
      <c r="P108">
        <v>7060324619</v>
      </c>
      <c r="Q108" t="s">
        <v>347</v>
      </c>
      <c r="R108">
        <v>44822</v>
      </c>
      <c r="S108" t="s">
        <v>367</v>
      </c>
      <c r="T108" t="s">
        <v>471</v>
      </c>
      <c r="U108" t="s">
        <v>370</v>
      </c>
      <c r="V108" t="s">
        <v>374</v>
      </c>
      <c r="W108" t="s">
        <v>309</v>
      </c>
      <c r="X108">
        <v>8217493115</v>
      </c>
      <c r="Y108">
        <v>26</v>
      </c>
      <c r="Z108" t="s">
        <v>299</v>
      </c>
      <c r="AA108" t="s">
        <v>472</v>
      </c>
      <c r="AB108" s="1">
        <v>45033</v>
      </c>
      <c r="AC108" s="3">
        <v>3512.69</v>
      </c>
      <c r="AD108" t="s">
        <v>316</v>
      </c>
      <c r="AE108" t="s">
        <v>352</v>
      </c>
    </row>
    <row r="109" spans="1:31" x14ac:dyDescent="0.3">
      <c r="A109" t="s">
        <v>171</v>
      </c>
      <c r="B109" t="s">
        <v>102</v>
      </c>
      <c r="C109" t="s">
        <v>67</v>
      </c>
      <c r="D109" s="1">
        <v>45037</v>
      </c>
      <c r="E109" s="2">
        <v>0.625</v>
      </c>
      <c r="F109" t="s">
        <v>19</v>
      </c>
      <c r="G109" t="s">
        <v>12</v>
      </c>
      <c r="H109" t="s">
        <v>413</v>
      </c>
      <c r="I109" t="s">
        <v>354</v>
      </c>
      <c r="J109" s="3">
        <v>4973.63</v>
      </c>
      <c r="K109" s="1">
        <v>45037</v>
      </c>
      <c r="L109" t="s">
        <v>350</v>
      </c>
      <c r="M109" t="s">
        <v>399</v>
      </c>
      <c r="N109" t="s">
        <v>346</v>
      </c>
      <c r="O109" s="1">
        <v>33546</v>
      </c>
      <c r="P109">
        <v>7196777444</v>
      </c>
      <c r="Q109" t="s">
        <v>347</v>
      </c>
      <c r="R109">
        <v>44441</v>
      </c>
      <c r="S109" t="s">
        <v>348</v>
      </c>
      <c r="T109" t="s">
        <v>443</v>
      </c>
      <c r="U109" t="s">
        <v>350</v>
      </c>
      <c r="V109" t="s">
        <v>391</v>
      </c>
      <c r="W109" t="s">
        <v>308</v>
      </c>
      <c r="X109">
        <v>9118538547</v>
      </c>
      <c r="Y109">
        <v>26</v>
      </c>
      <c r="Z109" t="s">
        <v>297</v>
      </c>
      <c r="AA109" t="s">
        <v>444</v>
      </c>
      <c r="AB109" s="1">
        <v>44969</v>
      </c>
      <c r="AC109" s="3">
        <v>1565.92</v>
      </c>
      <c r="AD109" t="s">
        <v>317</v>
      </c>
      <c r="AE109" t="s">
        <v>352</v>
      </c>
    </row>
    <row r="110" spans="1:31" x14ac:dyDescent="0.3">
      <c r="A110" t="s">
        <v>172</v>
      </c>
      <c r="B110" t="s">
        <v>118</v>
      </c>
      <c r="C110" t="s">
        <v>67</v>
      </c>
      <c r="D110" s="1">
        <v>45136</v>
      </c>
      <c r="E110" s="2">
        <v>0.58333333333333337</v>
      </c>
      <c r="F110" t="s">
        <v>31</v>
      </c>
      <c r="G110" t="s">
        <v>4</v>
      </c>
      <c r="H110" t="s">
        <v>342</v>
      </c>
      <c r="I110" t="s">
        <v>354</v>
      </c>
      <c r="J110" s="3">
        <v>3478.28</v>
      </c>
      <c r="K110" s="1">
        <v>45136</v>
      </c>
      <c r="L110" t="s">
        <v>360</v>
      </c>
      <c r="M110" t="s">
        <v>371</v>
      </c>
      <c r="N110" t="s">
        <v>346</v>
      </c>
      <c r="O110" s="1">
        <v>34072</v>
      </c>
      <c r="P110">
        <v>7039619487</v>
      </c>
      <c r="Q110" t="s">
        <v>357</v>
      </c>
      <c r="R110">
        <v>45116</v>
      </c>
      <c r="S110" t="s">
        <v>358</v>
      </c>
      <c r="T110" t="s">
        <v>453</v>
      </c>
      <c r="U110" t="s">
        <v>350</v>
      </c>
      <c r="V110" t="s">
        <v>391</v>
      </c>
      <c r="W110" t="s">
        <v>308</v>
      </c>
      <c r="X110">
        <v>9118538547</v>
      </c>
      <c r="Y110">
        <v>26</v>
      </c>
      <c r="Z110" t="s">
        <v>297</v>
      </c>
      <c r="AA110" t="s">
        <v>454</v>
      </c>
      <c r="AB110" s="1">
        <v>45077</v>
      </c>
      <c r="AC110" s="3">
        <v>3815.93</v>
      </c>
      <c r="AD110" t="s">
        <v>311</v>
      </c>
      <c r="AE110" t="s">
        <v>363</v>
      </c>
    </row>
    <row r="111" spans="1:31" x14ac:dyDescent="0.3">
      <c r="A111" t="s">
        <v>173</v>
      </c>
      <c r="B111" t="s">
        <v>61</v>
      </c>
      <c r="C111" t="s">
        <v>67</v>
      </c>
      <c r="D111" s="1">
        <v>45126</v>
      </c>
      <c r="E111" s="2">
        <v>0.60416666666666663</v>
      </c>
      <c r="F111" t="s">
        <v>11</v>
      </c>
      <c r="G111" t="s">
        <v>4</v>
      </c>
      <c r="H111" t="s">
        <v>342</v>
      </c>
      <c r="I111" t="s">
        <v>364</v>
      </c>
      <c r="J111" s="3">
        <v>3010.03</v>
      </c>
      <c r="K111" s="1">
        <v>45126</v>
      </c>
      <c r="L111" t="s">
        <v>360</v>
      </c>
      <c r="M111" t="s">
        <v>355</v>
      </c>
      <c r="N111" t="s">
        <v>356</v>
      </c>
      <c r="O111" s="1">
        <v>26629</v>
      </c>
      <c r="P111">
        <v>7712937941</v>
      </c>
      <c r="Q111" t="s">
        <v>347</v>
      </c>
      <c r="R111">
        <v>45091</v>
      </c>
      <c r="S111" t="s">
        <v>358</v>
      </c>
      <c r="T111" t="s">
        <v>420</v>
      </c>
      <c r="U111" t="s">
        <v>350</v>
      </c>
      <c r="V111" t="s">
        <v>391</v>
      </c>
      <c r="W111" t="s">
        <v>308</v>
      </c>
      <c r="X111">
        <v>9118538547</v>
      </c>
      <c r="Y111">
        <v>26</v>
      </c>
      <c r="Z111" t="s">
        <v>297</v>
      </c>
      <c r="AA111" t="s">
        <v>421</v>
      </c>
      <c r="AB111" s="1">
        <v>45098</v>
      </c>
      <c r="AC111" s="3">
        <v>3722.68</v>
      </c>
      <c r="AD111" t="s">
        <v>311</v>
      </c>
      <c r="AE111" t="s">
        <v>352</v>
      </c>
    </row>
    <row r="112" spans="1:31" x14ac:dyDescent="0.3">
      <c r="A112" t="s">
        <v>174</v>
      </c>
      <c r="B112" t="s">
        <v>118</v>
      </c>
      <c r="C112" t="s">
        <v>28</v>
      </c>
      <c r="D112" s="1">
        <v>45068</v>
      </c>
      <c r="E112" s="2">
        <v>0.64583333333333337</v>
      </c>
      <c r="F112" t="s">
        <v>31</v>
      </c>
      <c r="G112" t="s">
        <v>4</v>
      </c>
      <c r="H112" t="s">
        <v>353</v>
      </c>
      <c r="I112" t="s">
        <v>354</v>
      </c>
      <c r="J112" s="3">
        <v>3787.93</v>
      </c>
      <c r="K112" s="1">
        <v>45068</v>
      </c>
      <c r="L112" t="s">
        <v>360</v>
      </c>
      <c r="M112" t="s">
        <v>371</v>
      </c>
      <c r="N112" t="s">
        <v>346</v>
      </c>
      <c r="O112" s="1">
        <v>34072</v>
      </c>
      <c r="P112">
        <v>7039619487</v>
      </c>
      <c r="Q112" t="s">
        <v>357</v>
      </c>
      <c r="R112">
        <v>45116</v>
      </c>
      <c r="S112" t="s">
        <v>358</v>
      </c>
      <c r="T112" t="s">
        <v>453</v>
      </c>
      <c r="U112" t="s">
        <v>383</v>
      </c>
      <c r="V112" t="s">
        <v>371</v>
      </c>
      <c r="W112" t="s">
        <v>309</v>
      </c>
      <c r="X112">
        <v>6176383634</v>
      </c>
      <c r="Y112">
        <v>21</v>
      </c>
      <c r="Z112" t="s">
        <v>298</v>
      </c>
      <c r="AA112" t="s">
        <v>454</v>
      </c>
      <c r="AB112" s="1">
        <v>45077</v>
      </c>
      <c r="AC112" s="3">
        <v>3815.93</v>
      </c>
      <c r="AD112" t="s">
        <v>311</v>
      </c>
      <c r="AE112" t="s">
        <v>363</v>
      </c>
    </row>
    <row r="113" spans="1:31" x14ac:dyDescent="0.3">
      <c r="A113" t="s">
        <v>175</v>
      </c>
      <c r="B113" t="s">
        <v>10</v>
      </c>
      <c r="C113" t="s">
        <v>28</v>
      </c>
      <c r="D113" s="1">
        <v>44937</v>
      </c>
      <c r="E113" s="2">
        <v>0.33333333333333331</v>
      </c>
      <c r="F113" t="s">
        <v>31</v>
      </c>
      <c r="G113" t="s">
        <v>8</v>
      </c>
      <c r="H113" t="s">
        <v>353</v>
      </c>
      <c r="I113" t="s">
        <v>343</v>
      </c>
      <c r="J113" s="3">
        <v>2593.4299999999998</v>
      </c>
      <c r="K113" s="1">
        <v>44937</v>
      </c>
      <c r="L113" t="s">
        <v>365</v>
      </c>
      <c r="M113" t="s">
        <v>366</v>
      </c>
      <c r="N113" t="s">
        <v>356</v>
      </c>
      <c r="O113" s="1">
        <v>30399</v>
      </c>
      <c r="P113">
        <v>8720989381</v>
      </c>
      <c r="Q113" t="s">
        <v>357</v>
      </c>
      <c r="R113">
        <v>45096</v>
      </c>
      <c r="S113" t="s">
        <v>367</v>
      </c>
      <c r="T113" t="s">
        <v>368</v>
      </c>
      <c r="U113" t="s">
        <v>383</v>
      </c>
      <c r="V113" t="s">
        <v>371</v>
      </c>
      <c r="W113" t="s">
        <v>309</v>
      </c>
      <c r="X113">
        <v>6176383634</v>
      </c>
      <c r="Y113">
        <v>21</v>
      </c>
      <c r="Z113" t="s">
        <v>298</v>
      </c>
      <c r="AA113" t="s">
        <v>369</v>
      </c>
      <c r="AB113" s="1">
        <v>45105</v>
      </c>
      <c r="AC113" s="3">
        <v>3731.55</v>
      </c>
      <c r="AD113" t="s">
        <v>317</v>
      </c>
      <c r="AE113" t="s">
        <v>363</v>
      </c>
    </row>
    <row r="114" spans="1:31" x14ac:dyDescent="0.3">
      <c r="A114" t="s">
        <v>176</v>
      </c>
      <c r="B114" t="s">
        <v>77</v>
      </c>
      <c r="C114" t="s">
        <v>18</v>
      </c>
      <c r="D114" s="1">
        <v>45254</v>
      </c>
      <c r="E114" s="2">
        <v>0.64583333333333337</v>
      </c>
      <c r="F114" t="s">
        <v>11</v>
      </c>
      <c r="G114" t="s">
        <v>12</v>
      </c>
      <c r="H114" t="s">
        <v>342</v>
      </c>
      <c r="I114" t="s">
        <v>364</v>
      </c>
      <c r="J114" s="3">
        <v>770.64</v>
      </c>
      <c r="K114" s="1">
        <v>45254</v>
      </c>
      <c r="L114" t="s">
        <v>390</v>
      </c>
      <c r="M114" t="s">
        <v>371</v>
      </c>
      <c r="N114" t="s">
        <v>356</v>
      </c>
      <c r="O114" s="1">
        <v>35790</v>
      </c>
      <c r="P114">
        <v>8545613046</v>
      </c>
      <c r="Q114" t="s">
        <v>357</v>
      </c>
      <c r="R114">
        <v>44838</v>
      </c>
      <c r="S114" t="s">
        <v>358</v>
      </c>
      <c r="T114" t="s">
        <v>428</v>
      </c>
      <c r="U114" t="s">
        <v>381</v>
      </c>
      <c r="V114" t="s">
        <v>345</v>
      </c>
      <c r="W114" t="s">
        <v>310</v>
      </c>
      <c r="X114">
        <v>8737740598</v>
      </c>
      <c r="Y114">
        <v>19</v>
      </c>
      <c r="Z114" t="s">
        <v>298</v>
      </c>
      <c r="AA114" t="s">
        <v>429</v>
      </c>
      <c r="AB114" s="1">
        <v>45034</v>
      </c>
      <c r="AC114" s="3">
        <v>1654.53</v>
      </c>
      <c r="AD114" t="s">
        <v>317</v>
      </c>
      <c r="AE114" t="s">
        <v>376</v>
      </c>
    </row>
    <row r="115" spans="1:31" x14ac:dyDescent="0.3">
      <c r="A115" t="s">
        <v>177</v>
      </c>
      <c r="B115" t="s">
        <v>178</v>
      </c>
      <c r="C115" t="s">
        <v>52</v>
      </c>
      <c r="D115" s="1">
        <v>45146</v>
      </c>
      <c r="E115" s="2">
        <v>0.375</v>
      </c>
      <c r="F115" t="s">
        <v>3</v>
      </c>
      <c r="G115" t="s">
        <v>34</v>
      </c>
      <c r="H115" t="s">
        <v>342</v>
      </c>
      <c r="I115" t="s">
        <v>343</v>
      </c>
      <c r="J115" s="3">
        <v>3030.34</v>
      </c>
      <c r="K115" s="1">
        <v>45146</v>
      </c>
      <c r="L115" t="s">
        <v>404</v>
      </c>
      <c r="M115" t="s">
        <v>371</v>
      </c>
      <c r="N115" t="s">
        <v>356</v>
      </c>
      <c r="O115" s="1">
        <v>29122</v>
      </c>
      <c r="P115">
        <v>7145815738</v>
      </c>
      <c r="Q115" t="s">
        <v>386</v>
      </c>
      <c r="R115">
        <v>44827</v>
      </c>
      <c r="S115" t="s">
        <v>367</v>
      </c>
      <c r="T115" t="s">
        <v>473</v>
      </c>
      <c r="U115" t="s">
        <v>360</v>
      </c>
      <c r="V115" t="s">
        <v>391</v>
      </c>
      <c r="W115" t="s">
        <v>308</v>
      </c>
      <c r="X115">
        <v>8322010158</v>
      </c>
      <c r="Y115">
        <v>17</v>
      </c>
      <c r="Z115" t="s">
        <v>299</v>
      </c>
      <c r="AA115" t="s">
        <v>474</v>
      </c>
      <c r="AB115" s="1">
        <v>45146</v>
      </c>
      <c r="AC115" s="3">
        <v>3030.34</v>
      </c>
      <c r="AD115" t="s">
        <v>311</v>
      </c>
      <c r="AE115" t="s">
        <v>352</v>
      </c>
    </row>
    <row r="116" spans="1:31" x14ac:dyDescent="0.3">
      <c r="A116" t="s">
        <v>179</v>
      </c>
      <c r="B116" t="s">
        <v>61</v>
      </c>
      <c r="C116" t="s">
        <v>67</v>
      </c>
      <c r="D116" s="1">
        <v>45224</v>
      </c>
      <c r="E116" s="2">
        <v>0.4375</v>
      </c>
      <c r="F116" t="s">
        <v>3</v>
      </c>
      <c r="G116" t="s">
        <v>8</v>
      </c>
      <c r="H116" t="s">
        <v>413</v>
      </c>
      <c r="I116" t="s">
        <v>364</v>
      </c>
      <c r="J116" s="3">
        <v>4809.3100000000004</v>
      </c>
      <c r="K116" s="1">
        <v>45224</v>
      </c>
      <c r="L116" t="s">
        <v>360</v>
      </c>
      <c r="M116" t="s">
        <v>355</v>
      </c>
      <c r="N116" t="s">
        <v>356</v>
      </c>
      <c r="O116" s="1">
        <v>26629</v>
      </c>
      <c r="P116">
        <v>7712937941</v>
      </c>
      <c r="Q116" t="s">
        <v>347</v>
      </c>
      <c r="R116">
        <v>45091</v>
      </c>
      <c r="S116" t="s">
        <v>358</v>
      </c>
      <c r="T116" t="s">
        <v>420</v>
      </c>
      <c r="U116" t="s">
        <v>350</v>
      </c>
      <c r="V116" t="s">
        <v>391</v>
      </c>
      <c r="W116" t="s">
        <v>308</v>
      </c>
      <c r="X116">
        <v>9118538547</v>
      </c>
      <c r="Y116">
        <v>26</v>
      </c>
      <c r="Z116" t="s">
        <v>297</v>
      </c>
      <c r="AA116" t="s">
        <v>421</v>
      </c>
      <c r="AB116" s="1">
        <v>45098</v>
      </c>
      <c r="AC116" s="3">
        <v>3722.68</v>
      </c>
      <c r="AD116" t="s">
        <v>311</v>
      </c>
      <c r="AE116" t="s">
        <v>352</v>
      </c>
    </row>
    <row r="117" spans="1:31" x14ac:dyDescent="0.3">
      <c r="A117" t="s">
        <v>180</v>
      </c>
      <c r="B117" t="s">
        <v>30</v>
      </c>
      <c r="C117" t="s">
        <v>2</v>
      </c>
      <c r="D117" s="1">
        <v>45114</v>
      </c>
      <c r="E117" s="2">
        <v>0.38541666666666669</v>
      </c>
      <c r="F117" t="s">
        <v>31</v>
      </c>
      <c r="G117" t="s">
        <v>8</v>
      </c>
      <c r="H117" t="s">
        <v>413</v>
      </c>
      <c r="I117" t="s">
        <v>354</v>
      </c>
      <c r="J117" s="3">
        <v>1288.8599999999999</v>
      </c>
      <c r="K117" s="1">
        <v>45114</v>
      </c>
      <c r="L117" t="s">
        <v>381</v>
      </c>
      <c r="M117" t="s">
        <v>371</v>
      </c>
      <c r="N117" t="s">
        <v>346</v>
      </c>
      <c r="O117" s="1">
        <v>18609</v>
      </c>
      <c r="P117">
        <v>9271131338</v>
      </c>
      <c r="Q117" t="s">
        <v>386</v>
      </c>
      <c r="R117">
        <v>44264</v>
      </c>
      <c r="S117" t="s">
        <v>367</v>
      </c>
      <c r="T117" t="s">
        <v>394</v>
      </c>
      <c r="U117" t="s">
        <v>350</v>
      </c>
      <c r="V117" t="s">
        <v>345</v>
      </c>
      <c r="W117" t="s">
        <v>310</v>
      </c>
      <c r="X117">
        <v>7387087517</v>
      </c>
      <c r="Y117">
        <v>26</v>
      </c>
      <c r="Z117" t="s">
        <v>297</v>
      </c>
      <c r="AA117" t="s">
        <v>395</v>
      </c>
      <c r="AB117" s="1">
        <v>44990</v>
      </c>
      <c r="AC117" s="3">
        <v>4541.1400000000003</v>
      </c>
      <c r="AD117" t="s">
        <v>316</v>
      </c>
      <c r="AE117" t="s">
        <v>363</v>
      </c>
    </row>
    <row r="118" spans="1:31" x14ac:dyDescent="0.3">
      <c r="A118" t="s">
        <v>181</v>
      </c>
      <c r="B118" t="s">
        <v>6</v>
      </c>
      <c r="C118" t="s">
        <v>52</v>
      </c>
      <c r="D118" s="1">
        <v>45097</v>
      </c>
      <c r="E118" s="2">
        <v>0.57291666666666663</v>
      </c>
      <c r="F118" t="s">
        <v>11</v>
      </c>
      <c r="G118" t="s">
        <v>8</v>
      </c>
      <c r="H118" t="s">
        <v>353</v>
      </c>
      <c r="I118" t="s">
        <v>364</v>
      </c>
      <c r="J118" s="3">
        <v>3605.02</v>
      </c>
      <c r="K118" s="1">
        <v>45097</v>
      </c>
      <c r="L118" t="s">
        <v>344</v>
      </c>
      <c r="M118" t="s">
        <v>355</v>
      </c>
      <c r="N118" t="s">
        <v>356</v>
      </c>
      <c r="O118" s="1">
        <v>29594</v>
      </c>
      <c r="P118">
        <v>8102183595</v>
      </c>
      <c r="Q118" t="s">
        <v>357</v>
      </c>
      <c r="R118">
        <v>44471</v>
      </c>
      <c r="S118" t="s">
        <v>358</v>
      </c>
      <c r="T118" t="s">
        <v>359</v>
      </c>
      <c r="U118" t="s">
        <v>360</v>
      </c>
      <c r="V118" t="s">
        <v>391</v>
      </c>
      <c r="W118" t="s">
        <v>308</v>
      </c>
      <c r="X118">
        <v>8322010158</v>
      </c>
      <c r="Y118">
        <v>17</v>
      </c>
      <c r="Z118" t="s">
        <v>299</v>
      </c>
      <c r="AA118" t="s">
        <v>362</v>
      </c>
      <c r="AB118" s="1">
        <v>45086</v>
      </c>
      <c r="AC118" s="3">
        <v>4158.4399999999996</v>
      </c>
      <c r="AD118" t="s">
        <v>317</v>
      </c>
      <c r="AE118" t="s">
        <v>363</v>
      </c>
    </row>
    <row r="119" spans="1:31" x14ac:dyDescent="0.3">
      <c r="A119" t="s">
        <v>182</v>
      </c>
      <c r="B119" t="s">
        <v>102</v>
      </c>
      <c r="C119" t="s">
        <v>18</v>
      </c>
      <c r="D119" s="1">
        <v>45147</v>
      </c>
      <c r="E119" s="2">
        <v>0.34375</v>
      </c>
      <c r="F119" t="s">
        <v>11</v>
      </c>
      <c r="G119" t="s">
        <v>4</v>
      </c>
      <c r="H119" t="s">
        <v>377</v>
      </c>
      <c r="I119" t="s">
        <v>364</v>
      </c>
      <c r="J119" s="3">
        <v>1404.2</v>
      </c>
      <c r="K119" s="1">
        <v>45147</v>
      </c>
      <c r="L119" t="s">
        <v>350</v>
      </c>
      <c r="M119" t="s">
        <v>399</v>
      </c>
      <c r="N119" t="s">
        <v>346</v>
      </c>
      <c r="O119" s="1">
        <v>33546</v>
      </c>
      <c r="P119">
        <v>7196777444</v>
      </c>
      <c r="Q119" t="s">
        <v>347</v>
      </c>
      <c r="R119">
        <v>44441</v>
      </c>
      <c r="S119" t="s">
        <v>348</v>
      </c>
      <c r="T119" t="s">
        <v>443</v>
      </c>
      <c r="U119" t="s">
        <v>381</v>
      </c>
      <c r="V119" t="s">
        <v>345</v>
      </c>
      <c r="W119" t="s">
        <v>310</v>
      </c>
      <c r="X119">
        <v>8737740598</v>
      </c>
      <c r="Y119">
        <v>19</v>
      </c>
      <c r="Z119" t="s">
        <v>298</v>
      </c>
      <c r="AA119" t="s">
        <v>444</v>
      </c>
      <c r="AB119" s="1">
        <v>44969</v>
      </c>
      <c r="AC119" s="3">
        <v>1565.92</v>
      </c>
      <c r="AD119" t="s">
        <v>317</v>
      </c>
      <c r="AE119" t="s">
        <v>352</v>
      </c>
    </row>
    <row r="120" spans="1:31" x14ac:dyDescent="0.3">
      <c r="A120" t="s">
        <v>183</v>
      </c>
      <c r="B120" t="s">
        <v>83</v>
      </c>
      <c r="C120" t="s">
        <v>7</v>
      </c>
      <c r="D120" s="1">
        <v>45278</v>
      </c>
      <c r="E120" s="2">
        <v>0.5625</v>
      </c>
      <c r="F120" t="s">
        <v>19</v>
      </c>
      <c r="G120" t="s">
        <v>12</v>
      </c>
      <c r="H120" t="s">
        <v>342</v>
      </c>
      <c r="I120" t="s">
        <v>343</v>
      </c>
      <c r="J120" s="3">
        <v>2911.22</v>
      </c>
      <c r="K120" s="1">
        <v>45278</v>
      </c>
      <c r="L120" t="s">
        <v>383</v>
      </c>
      <c r="M120" t="s">
        <v>432</v>
      </c>
      <c r="N120" t="s">
        <v>356</v>
      </c>
      <c r="O120" s="1">
        <v>34387</v>
      </c>
      <c r="P120">
        <v>6141951830</v>
      </c>
      <c r="Q120" t="s">
        <v>386</v>
      </c>
      <c r="R120">
        <v>44557</v>
      </c>
      <c r="S120" t="s">
        <v>348</v>
      </c>
      <c r="T120" t="s">
        <v>433</v>
      </c>
      <c r="U120" t="s">
        <v>360</v>
      </c>
      <c r="V120" t="s">
        <v>361</v>
      </c>
      <c r="W120" t="s">
        <v>310</v>
      </c>
      <c r="X120">
        <v>6594221991</v>
      </c>
      <c r="Y120">
        <v>28</v>
      </c>
      <c r="Z120" t="s">
        <v>297</v>
      </c>
      <c r="AA120" t="s">
        <v>434</v>
      </c>
      <c r="AB120" s="1">
        <v>45033</v>
      </c>
      <c r="AC120" s="3">
        <v>2976.02</v>
      </c>
      <c r="AD120" t="s">
        <v>317</v>
      </c>
      <c r="AE120" t="s">
        <v>376</v>
      </c>
    </row>
    <row r="121" spans="1:31" x14ac:dyDescent="0.3">
      <c r="A121" t="s">
        <v>184</v>
      </c>
      <c r="B121" t="s">
        <v>6</v>
      </c>
      <c r="C121" t="s">
        <v>52</v>
      </c>
      <c r="D121" s="1">
        <v>45268</v>
      </c>
      <c r="E121" s="2">
        <v>0.45833333333333331</v>
      </c>
      <c r="F121" t="s">
        <v>3</v>
      </c>
      <c r="G121" t="s">
        <v>8</v>
      </c>
      <c r="H121" t="s">
        <v>413</v>
      </c>
      <c r="I121" t="s">
        <v>343</v>
      </c>
      <c r="J121" s="3">
        <v>935.04</v>
      </c>
      <c r="K121" s="1">
        <v>45268</v>
      </c>
      <c r="L121" t="s">
        <v>344</v>
      </c>
      <c r="M121" t="s">
        <v>355</v>
      </c>
      <c r="N121" t="s">
        <v>356</v>
      </c>
      <c r="O121" s="1">
        <v>29594</v>
      </c>
      <c r="P121">
        <v>8102183595</v>
      </c>
      <c r="Q121" t="s">
        <v>357</v>
      </c>
      <c r="R121">
        <v>44471</v>
      </c>
      <c r="S121" t="s">
        <v>358</v>
      </c>
      <c r="T121" t="s">
        <v>359</v>
      </c>
      <c r="U121" t="s">
        <v>360</v>
      </c>
      <c r="V121" t="s">
        <v>391</v>
      </c>
      <c r="W121" t="s">
        <v>308</v>
      </c>
      <c r="X121">
        <v>8322010158</v>
      </c>
      <c r="Y121">
        <v>17</v>
      </c>
      <c r="Z121" t="s">
        <v>299</v>
      </c>
      <c r="AA121" t="s">
        <v>362</v>
      </c>
      <c r="AB121" s="1">
        <v>45086</v>
      </c>
      <c r="AC121" s="3">
        <v>4158.4399999999996</v>
      </c>
      <c r="AD121" t="s">
        <v>317</v>
      </c>
      <c r="AE121" t="s">
        <v>363</v>
      </c>
    </row>
    <row r="122" spans="1:31" x14ac:dyDescent="0.3">
      <c r="A122" t="s">
        <v>185</v>
      </c>
      <c r="B122" t="s">
        <v>49</v>
      </c>
      <c r="C122" t="s">
        <v>52</v>
      </c>
      <c r="D122" s="1">
        <v>45023</v>
      </c>
      <c r="E122" s="2">
        <v>0.625</v>
      </c>
      <c r="F122" t="s">
        <v>22</v>
      </c>
      <c r="G122" t="s">
        <v>34</v>
      </c>
      <c r="H122" t="s">
        <v>353</v>
      </c>
      <c r="I122" t="s">
        <v>354</v>
      </c>
      <c r="J122" s="3">
        <v>2526.67</v>
      </c>
      <c r="K122" s="1">
        <v>45023</v>
      </c>
      <c r="L122" t="s">
        <v>370</v>
      </c>
      <c r="M122" t="s">
        <v>378</v>
      </c>
      <c r="N122" t="s">
        <v>356</v>
      </c>
      <c r="O122" s="1">
        <v>36196</v>
      </c>
      <c r="P122">
        <v>8886800195</v>
      </c>
      <c r="Q122" t="s">
        <v>379</v>
      </c>
      <c r="R122">
        <v>44469</v>
      </c>
      <c r="S122" t="s">
        <v>372</v>
      </c>
      <c r="T122" t="s">
        <v>411</v>
      </c>
      <c r="U122" t="s">
        <v>360</v>
      </c>
      <c r="V122" t="s">
        <v>391</v>
      </c>
      <c r="W122" t="s">
        <v>308</v>
      </c>
      <c r="X122">
        <v>8322010158</v>
      </c>
      <c r="Y122">
        <v>17</v>
      </c>
      <c r="Z122" t="s">
        <v>299</v>
      </c>
      <c r="AA122" t="s">
        <v>412</v>
      </c>
      <c r="AB122" s="1">
        <v>45118</v>
      </c>
      <c r="AC122" s="3">
        <v>1655.49</v>
      </c>
      <c r="AD122" t="s">
        <v>316</v>
      </c>
      <c r="AE122" t="s">
        <v>352</v>
      </c>
    </row>
    <row r="123" spans="1:31" x14ac:dyDescent="0.3">
      <c r="A123" t="s">
        <v>186</v>
      </c>
      <c r="B123" t="s">
        <v>43</v>
      </c>
      <c r="C123" t="s">
        <v>47</v>
      </c>
      <c r="D123" s="1">
        <v>45118</v>
      </c>
      <c r="E123" s="2">
        <v>0.60416666666666663</v>
      </c>
      <c r="F123" t="s">
        <v>3</v>
      </c>
      <c r="G123" t="s">
        <v>12</v>
      </c>
      <c r="H123" t="s">
        <v>413</v>
      </c>
      <c r="I123" t="s">
        <v>364</v>
      </c>
      <c r="J123" s="3">
        <v>3902.73</v>
      </c>
      <c r="K123" s="1">
        <v>45118</v>
      </c>
      <c r="L123" t="s">
        <v>404</v>
      </c>
      <c r="M123" t="s">
        <v>374</v>
      </c>
      <c r="N123" t="s">
        <v>346</v>
      </c>
      <c r="O123" s="1">
        <v>33580</v>
      </c>
      <c r="P123">
        <v>8135666049</v>
      </c>
      <c r="Q123" t="s">
        <v>347</v>
      </c>
      <c r="R123">
        <v>45043</v>
      </c>
      <c r="S123" t="s">
        <v>358</v>
      </c>
      <c r="T123" t="s">
        <v>407</v>
      </c>
      <c r="U123" t="s">
        <v>383</v>
      </c>
      <c r="V123" t="s">
        <v>399</v>
      </c>
      <c r="W123" t="s">
        <v>308</v>
      </c>
      <c r="X123">
        <v>9069162601</v>
      </c>
      <c r="Y123">
        <v>5</v>
      </c>
      <c r="Z123" t="s">
        <v>299</v>
      </c>
      <c r="AA123" t="s">
        <v>408</v>
      </c>
      <c r="AB123" s="1">
        <v>45071</v>
      </c>
      <c r="AC123" s="3">
        <v>2082.3000000000002</v>
      </c>
      <c r="AD123" t="s">
        <v>316</v>
      </c>
      <c r="AE123" t="s">
        <v>363</v>
      </c>
    </row>
    <row r="124" spans="1:31" x14ac:dyDescent="0.3">
      <c r="A124" t="s">
        <v>187</v>
      </c>
      <c r="B124" t="s">
        <v>61</v>
      </c>
      <c r="C124" t="s">
        <v>41</v>
      </c>
      <c r="D124" s="1">
        <v>44985</v>
      </c>
      <c r="E124" s="2">
        <v>0.44791666666666669</v>
      </c>
      <c r="F124" t="s">
        <v>3</v>
      </c>
      <c r="G124" t="s">
        <v>34</v>
      </c>
      <c r="H124" t="s">
        <v>342</v>
      </c>
      <c r="I124" t="s">
        <v>364</v>
      </c>
      <c r="J124" s="3">
        <v>2064.0700000000002</v>
      </c>
      <c r="K124" s="1">
        <v>44985</v>
      </c>
      <c r="L124" t="s">
        <v>360</v>
      </c>
      <c r="M124" t="s">
        <v>355</v>
      </c>
      <c r="N124" t="s">
        <v>356</v>
      </c>
      <c r="O124" s="1">
        <v>26629</v>
      </c>
      <c r="P124">
        <v>7712937941</v>
      </c>
      <c r="Q124" t="s">
        <v>347</v>
      </c>
      <c r="R124">
        <v>45091</v>
      </c>
      <c r="S124" t="s">
        <v>358</v>
      </c>
      <c r="T124" t="s">
        <v>420</v>
      </c>
      <c r="U124" t="s">
        <v>381</v>
      </c>
      <c r="V124" t="s">
        <v>374</v>
      </c>
      <c r="W124" t="s">
        <v>310</v>
      </c>
      <c r="X124">
        <v>9004382050</v>
      </c>
      <c r="Y124">
        <v>24</v>
      </c>
      <c r="Z124" t="s">
        <v>298</v>
      </c>
      <c r="AA124" t="s">
        <v>421</v>
      </c>
      <c r="AB124" s="1">
        <v>45098</v>
      </c>
      <c r="AC124" s="3">
        <v>3722.68</v>
      </c>
      <c r="AD124" t="s">
        <v>311</v>
      </c>
      <c r="AE124" t="s">
        <v>352</v>
      </c>
    </row>
    <row r="125" spans="1:31" x14ac:dyDescent="0.3">
      <c r="A125" t="s">
        <v>188</v>
      </c>
      <c r="B125" t="s">
        <v>135</v>
      </c>
      <c r="C125" t="s">
        <v>47</v>
      </c>
      <c r="D125" s="1">
        <v>45001</v>
      </c>
      <c r="E125" s="2">
        <v>0.71875</v>
      </c>
      <c r="F125" t="s">
        <v>19</v>
      </c>
      <c r="G125" t="s">
        <v>12</v>
      </c>
      <c r="H125" t="s">
        <v>342</v>
      </c>
      <c r="I125" t="s">
        <v>364</v>
      </c>
      <c r="J125" s="3">
        <v>3492.1</v>
      </c>
      <c r="K125" s="1">
        <v>45001</v>
      </c>
      <c r="L125" t="s">
        <v>404</v>
      </c>
      <c r="M125" t="s">
        <v>432</v>
      </c>
      <c r="N125" t="s">
        <v>346</v>
      </c>
      <c r="O125" s="1">
        <v>32960</v>
      </c>
      <c r="P125">
        <v>9059178882</v>
      </c>
      <c r="Q125" t="s">
        <v>347</v>
      </c>
      <c r="R125">
        <v>44553</v>
      </c>
      <c r="S125" t="s">
        <v>348</v>
      </c>
      <c r="T125" t="s">
        <v>459</v>
      </c>
      <c r="U125" t="s">
        <v>383</v>
      </c>
      <c r="V125" t="s">
        <v>399</v>
      </c>
      <c r="W125" t="s">
        <v>308</v>
      </c>
      <c r="X125">
        <v>9069162601</v>
      </c>
      <c r="Y125">
        <v>5</v>
      </c>
      <c r="Z125" t="s">
        <v>299</v>
      </c>
      <c r="AA125" t="s">
        <v>460</v>
      </c>
      <c r="AB125" s="1">
        <v>45186</v>
      </c>
      <c r="AC125" s="3">
        <v>3628.15</v>
      </c>
      <c r="AD125" t="s">
        <v>316</v>
      </c>
      <c r="AE125" t="s">
        <v>363</v>
      </c>
    </row>
    <row r="126" spans="1:31" x14ac:dyDescent="0.3">
      <c r="A126" t="s">
        <v>189</v>
      </c>
      <c r="B126" t="s">
        <v>83</v>
      </c>
      <c r="C126" t="s">
        <v>25</v>
      </c>
      <c r="D126" s="1">
        <v>44975</v>
      </c>
      <c r="E126" s="2">
        <v>0.42708333333333331</v>
      </c>
      <c r="F126" t="s">
        <v>22</v>
      </c>
      <c r="G126" t="s">
        <v>34</v>
      </c>
      <c r="H126" t="s">
        <v>389</v>
      </c>
      <c r="I126" t="s">
        <v>354</v>
      </c>
      <c r="J126" s="3">
        <v>4079.52</v>
      </c>
      <c r="K126" s="1">
        <v>44975</v>
      </c>
      <c r="L126" t="s">
        <v>383</v>
      </c>
      <c r="M126" t="s">
        <v>432</v>
      </c>
      <c r="N126" t="s">
        <v>356</v>
      </c>
      <c r="O126" s="1">
        <v>34387</v>
      </c>
      <c r="P126">
        <v>6141951830</v>
      </c>
      <c r="Q126" t="s">
        <v>386</v>
      </c>
      <c r="R126">
        <v>44557</v>
      </c>
      <c r="S126" t="s">
        <v>348</v>
      </c>
      <c r="T126" t="s">
        <v>433</v>
      </c>
      <c r="U126" t="s">
        <v>370</v>
      </c>
      <c r="V126" t="s">
        <v>374</v>
      </c>
      <c r="W126" t="s">
        <v>309</v>
      </c>
      <c r="X126">
        <v>8217493115</v>
      </c>
      <c r="Y126">
        <v>26</v>
      </c>
      <c r="Z126" t="s">
        <v>299</v>
      </c>
      <c r="AA126" t="s">
        <v>434</v>
      </c>
      <c r="AB126" s="1">
        <v>45033</v>
      </c>
      <c r="AC126" s="3">
        <v>2976.02</v>
      </c>
      <c r="AD126" t="s">
        <v>317</v>
      </c>
      <c r="AE126" t="s">
        <v>376</v>
      </c>
    </row>
    <row r="127" spans="1:31" x14ac:dyDescent="0.3">
      <c r="A127" t="s">
        <v>190</v>
      </c>
      <c r="B127" t="s">
        <v>14</v>
      </c>
      <c r="C127" t="s">
        <v>28</v>
      </c>
      <c r="D127" s="1">
        <v>45232</v>
      </c>
      <c r="E127" s="2">
        <v>0.40625</v>
      </c>
      <c r="F127" t="s">
        <v>19</v>
      </c>
      <c r="G127" t="s">
        <v>4</v>
      </c>
      <c r="H127" t="s">
        <v>377</v>
      </c>
      <c r="I127" t="s">
        <v>354</v>
      </c>
      <c r="J127" s="3">
        <v>4672.3</v>
      </c>
      <c r="K127" s="1">
        <v>45232</v>
      </c>
      <c r="L127" t="s">
        <v>370</v>
      </c>
      <c r="M127" t="s">
        <v>371</v>
      </c>
      <c r="N127" t="s">
        <v>356</v>
      </c>
      <c r="O127" s="1">
        <v>24333</v>
      </c>
      <c r="P127">
        <v>7482069727</v>
      </c>
      <c r="Q127" t="s">
        <v>357</v>
      </c>
      <c r="R127">
        <v>44448</v>
      </c>
      <c r="S127" t="s">
        <v>372</v>
      </c>
      <c r="T127" t="s">
        <v>373</v>
      </c>
      <c r="U127" t="s">
        <v>383</v>
      </c>
      <c r="V127" t="s">
        <v>371</v>
      </c>
      <c r="W127" t="s">
        <v>309</v>
      </c>
      <c r="X127">
        <v>6176383634</v>
      </c>
      <c r="Y127">
        <v>21</v>
      </c>
      <c r="Z127" t="s">
        <v>298</v>
      </c>
      <c r="AA127" t="s">
        <v>375</v>
      </c>
      <c r="AB127" s="1">
        <v>45170</v>
      </c>
      <c r="AC127" s="3">
        <v>4799.8599999999997</v>
      </c>
      <c r="AD127" t="s">
        <v>317</v>
      </c>
      <c r="AE127" t="s">
        <v>376</v>
      </c>
    </row>
    <row r="128" spans="1:31" x14ac:dyDescent="0.3">
      <c r="A128" t="s">
        <v>191</v>
      </c>
      <c r="B128" t="s">
        <v>118</v>
      </c>
      <c r="C128" t="s">
        <v>28</v>
      </c>
      <c r="D128" s="1">
        <v>45243</v>
      </c>
      <c r="E128" s="2">
        <v>0.35416666666666669</v>
      </c>
      <c r="F128" t="s">
        <v>22</v>
      </c>
      <c r="G128" t="s">
        <v>8</v>
      </c>
      <c r="H128" t="s">
        <v>389</v>
      </c>
      <c r="I128" t="s">
        <v>354</v>
      </c>
      <c r="J128" s="3">
        <v>1555.89</v>
      </c>
      <c r="K128" s="1">
        <v>45243</v>
      </c>
      <c r="L128" t="s">
        <v>360</v>
      </c>
      <c r="M128" t="s">
        <v>371</v>
      </c>
      <c r="N128" t="s">
        <v>346</v>
      </c>
      <c r="O128" s="1">
        <v>34072</v>
      </c>
      <c r="P128">
        <v>7039619487</v>
      </c>
      <c r="Q128" t="s">
        <v>357</v>
      </c>
      <c r="R128">
        <v>45116</v>
      </c>
      <c r="S128" t="s">
        <v>358</v>
      </c>
      <c r="T128" t="s">
        <v>453</v>
      </c>
      <c r="U128" t="s">
        <v>383</v>
      </c>
      <c r="V128" t="s">
        <v>371</v>
      </c>
      <c r="W128" t="s">
        <v>309</v>
      </c>
      <c r="X128">
        <v>6176383634</v>
      </c>
      <c r="Y128">
        <v>21</v>
      </c>
      <c r="Z128" t="s">
        <v>298</v>
      </c>
      <c r="AA128" t="s">
        <v>454</v>
      </c>
      <c r="AB128" s="1">
        <v>45077</v>
      </c>
      <c r="AC128" s="3">
        <v>3815.93</v>
      </c>
      <c r="AD128" t="s">
        <v>311</v>
      </c>
      <c r="AE128" t="s">
        <v>363</v>
      </c>
    </row>
    <row r="129" spans="1:31" x14ac:dyDescent="0.3">
      <c r="A129" t="s">
        <v>192</v>
      </c>
      <c r="B129" t="s">
        <v>154</v>
      </c>
      <c r="C129" t="s">
        <v>41</v>
      </c>
      <c r="D129" s="1">
        <v>45031</v>
      </c>
      <c r="E129" s="2">
        <v>0.61458333333333337</v>
      </c>
      <c r="F129" t="s">
        <v>31</v>
      </c>
      <c r="G129" t="s">
        <v>34</v>
      </c>
      <c r="H129" t="s">
        <v>353</v>
      </c>
      <c r="I129" t="s">
        <v>354</v>
      </c>
      <c r="J129" s="3">
        <v>2296.92</v>
      </c>
      <c r="K129" s="1">
        <v>45031</v>
      </c>
      <c r="L129" t="s">
        <v>370</v>
      </c>
      <c r="M129" t="s">
        <v>378</v>
      </c>
      <c r="N129" t="s">
        <v>356</v>
      </c>
      <c r="O129" s="1">
        <v>18798</v>
      </c>
      <c r="P129">
        <v>7020645498</v>
      </c>
      <c r="Q129" t="s">
        <v>379</v>
      </c>
      <c r="R129">
        <v>44758</v>
      </c>
      <c r="S129" t="s">
        <v>348</v>
      </c>
      <c r="T129" t="s">
        <v>465</v>
      </c>
      <c r="U129" t="s">
        <v>381</v>
      </c>
      <c r="V129" t="s">
        <v>374</v>
      </c>
      <c r="W129" t="s">
        <v>310</v>
      </c>
      <c r="X129">
        <v>9004382050</v>
      </c>
      <c r="Y129">
        <v>24</v>
      </c>
      <c r="Z129" t="s">
        <v>298</v>
      </c>
      <c r="AA129" t="s">
        <v>466</v>
      </c>
      <c r="AB129" s="1">
        <v>45024</v>
      </c>
      <c r="AC129" s="3">
        <v>1519.95</v>
      </c>
      <c r="AD129" t="s">
        <v>311</v>
      </c>
      <c r="AE129" t="s">
        <v>376</v>
      </c>
    </row>
    <row r="130" spans="1:31" x14ac:dyDescent="0.3">
      <c r="A130" t="s">
        <v>193</v>
      </c>
      <c r="B130" t="s">
        <v>63</v>
      </c>
      <c r="C130" t="s">
        <v>15</v>
      </c>
      <c r="D130" s="1">
        <v>45163</v>
      </c>
      <c r="E130" s="2">
        <v>0.39583333333333331</v>
      </c>
      <c r="F130" t="s">
        <v>22</v>
      </c>
      <c r="G130" t="s">
        <v>12</v>
      </c>
      <c r="H130" t="s">
        <v>413</v>
      </c>
      <c r="I130" t="s">
        <v>354</v>
      </c>
      <c r="J130" s="3">
        <v>1185.8699999999999</v>
      </c>
      <c r="K130" s="1">
        <v>45163</v>
      </c>
      <c r="L130" t="s">
        <v>365</v>
      </c>
      <c r="M130" t="s">
        <v>355</v>
      </c>
      <c r="N130" t="s">
        <v>356</v>
      </c>
      <c r="O130" s="1">
        <v>23734</v>
      </c>
      <c r="P130">
        <v>6622318721</v>
      </c>
      <c r="Q130" t="s">
        <v>379</v>
      </c>
      <c r="R130">
        <v>44415</v>
      </c>
      <c r="S130" t="s">
        <v>367</v>
      </c>
      <c r="T130" t="s">
        <v>422</v>
      </c>
      <c r="U130" t="s">
        <v>344</v>
      </c>
      <c r="V130" t="s">
        <v>374</v>
      </c>
      <c r="W130" t="s">
        <v>310</v>
      </c>
      <c r="X130">
        <v>6570137231</v>
      </c>
      <c r="Y130">
        <v>23</v>
      </c>
      <c r="Z130" t="s">
        <v>297</v>
      </c>
      <c r="AA130" t="s">
        <v>423</v>
      </c>
      <c r="AB130" s="1">
        <v>44982</v>
      </c>
      <c r="AC130" s="3">
        <v>1726.81</v>
      </c>
      <c r="AD130" t="s">
        <v>311</v>
      </c>
      <c r="AE130" t="s">
        <v>376</v>
      </c>
    </row>
    <row r="131" spans="1:31" x14ac:dyDescent="0.3">
      <c r="A131" t="s">
        <v>194</v>
      </c>
      <c r="B131" t="s">
        <v>144</v>
      </c>
      <c r="C131" t="s">
        <v>15</v>
      </c>
      <c r="D131" s="1">
        <v>44980</v>
      </c>
      <c r="E131" s="2">
        <v>0.625</v>
      </c>
      <c r="F131" t="s">
        <v>19</v>
      </c>
      <c r="G131" t="s">
        <v>8</v>
      </c>
      <c r="H131" t="s">
        <v>353</v>
      </c>
      <c r="I131" t="s">
        <v>343</v>
      </c>
      <c r="J131" s="3">
        <v>4966.18</v>
      </c>
      <c r="K131" s="1">
        <v>44980</v>
      </c>
      <c r="L131" t="s">
        <v>381</v>
      </c>
      <c r="M131" t="s">
        <v>361</v>
      </c>
      <c r="N131" t="s">
        <v>356</v>
      </c>
      <c r="O131" s="1">
        <v>33359</v>
      </c>
      <c r="P131">
        <v>6158428240</v>
      </c>
      <c r="Q131" t="s">
        <v>379</v>
      </c>
      <c r="R131">
        <v>44830</v>
      </c>
      <c r="S131" t="s">
        <v>348</v>
      </c>
      <c r="T131" t="s">
        <v>461</v>
      </c>
      <c r="U131" t="s">
        <v>344</v>
      </c>
      <c r="V131" t="s">
        <v>374</v>
      </c>
      <c r="W131" t="s">
        <v>310</v>
      </c>
      <c r="X131">
        <v>6570137231</v>
      </c>
      <c r="Y131">
        <v>23</v>
      </c>
      <c r="Z131" t="s">
        <v>297</v>
      </c>
      <c r="AA131" t="s">
        <v>462</v>
      </c>
      <c r="AB131" s="1">
        <v>45228</v>
      </c>
      <c r="AC131" s="3">
        <v>3759.52</v>
      </c>
      <c r="AD131" t="s">
        <v>311</v>
      </c>
      <c r="AE131" t="s">
        <v>352</v>
      </c>
    </row>
    <row r="132" spans="1:31" x14ac:dyDescent="0.3">
      <c r="A132" t="s">
        <v>195</v>
      </c>
      <c r="B132" t="s">
        <v>61</v>
      </c>
      <c r="C132" t="s">
        <v>18</v>
      </c>
      <c r="D132" s="1">
        <v>45057</v>
      </c>
      <c r="E132" s="2">
        <v>0.6875</v>
      </c>
      <c r="F132" t="s">
        <v>3</v>
      </c>
      <c r="G132" t="s">
        <v>8</v>
      </c>
      <c r="H132" t="s">
        <v>342</v>
      </c>
      <c r="I132" t="s">
        <v>364</v>
      </c>
      <c r="J132" s="3">
        <v>4671.5</v>
      </c>
      <c r="K132" s="1">
        <v>45057</v>
      </c>
      <c r="L132" t="s">
        <v>360</v>
      </c>
      <c r="M132" t="s">
        <v>355</v>
      </c>
      <c r="N132" t="s">
        <v>356</v>
      </c>
      <c r="O132" s="1">
        <v>26629</v>
      </c>
      <c r="P132">
        <v>7712937941</v>
      </c>
      <c r="Q132" t="s">
        <v>347</v>
      </c>
      <c r="R132">
        <v>45091</v>
      </c>
      <c r="S132" t="s">
        <v>358</v>
      </c>
      <c r="T132" t="s">
        <v>420</v>
      </c>
      <c r="U132" t="s">
        <v>381</v>
      </c>
      <c r="V132" t="s">
        <v>345</v>
      </c>
      <c r="W132" t="s">
        <v>310</v>
      </c>
      <c r="X132">
        <v>8737740598</v>
      </c>
      <c r="Y132">
        <v>19</v>
      </c>
      <c r="Z132" t="s">
        <v>298</v>
      </c>
      <c r="AA132" t="s">
        <v>421</v>
      </c>
      <c r="AB132" s="1">
        <v>45098</v>
      </c>
      <c r="AC132" s="3">
        <v>3722.68</v>
      </c>
      <c r="AD132" t="s">
        <v>311</v>
      </c>
      <c r="AE132" t="s">
        <v>352</v>
      </c>
    </row>
    <row r="133" spans="1:31" x14ac:dyDescent="0.3">
      <c r="A133" t="s">
        <v>196</v>
      </c>
      <c r="B133" t="s">
        <v>112</v>
      </c>
      <c r="C133" t="s">
        <v>41</v>
      </c>
      <c r="D133" s="1">
        <v>45133</v>
      </c>
      <c r="E133" s="2">
        <v>0.44791666666666669</v>
      </c>
      <c r="F133" t="s">
        <v>22</v>
      </c>
      <c r="G133" t="s">
        <v>12</v>
      </c>
      <c r="H133" t="s">
        <v>389</v>
      </c>
      <c r="I133" t="s">
        <v>364</v>
      </c>
      <c r="J133" s="3">
        <v>2929.81</v>
      </c>
      <c r="K133" s="1">
        <v>45133</v>
      </c>
      <c r="L133" t="s">
        <v>381</v>
      </c>
      <c r="M133" t="s">
        <v>355</v>
      </c>
      <c r="N133" t="s">
        <v>346</v>
      </c>
      <c r="O133" s="1">
        <v>37778</v>
      </c>
      <c r="P133">
        <v>8158989953</v>
      </c>
      <c r="Q133" t="s">
        <v>386</v>
      </c>
      <c r="R133">
        <v>44654</v>
      </c>
      <c r="S133" t="s">
        <v>358</v>
      </c>
      <c r="T133" t="s">
        <v>449</v>
      </c>
      <c r="U133" t="s">
        <v>381</v>
      </c>
      <c r="V133" t="s">
        <v>374</v>
      </c>
      <c r="W133" t="s">
        <v>310</v>
      </c>
      <c r="X133">
        <v>9004382050</v>
      </c>
      <c r="Y133">
        <v>24</v>
      </c>
      <c r="Z133" t="s">
        <v>298</v>
      </c>
      <c r="AA133" t="s">
        <v>450</v>
      </c>
      <c r="AB133" s="1">
        <v>45252</v>
      </c>
      <c r="AC133" s="3">
        <v>3307.37</v>
      </c>
      <c r="AD133" t="s">
        <v>317</v>
      </c>
      <c r="AE133" t="s">
        <v>352</v>
      </c>
    </row>
    <row r="134" spans="1:31" x14ac:dyDescent="0.3">
      <c r="A134" t="s">
        <v>197</v>
      </c>
      <c r="B134" t="s">
        <v>10</v>
      </c>
      <c r="C134" t="s">
        <v>52</v>
      </c>
      <c r="D134" s="1">
        <v>45008</v>
      </c>
      <c r="E134" s="2">
        <v>0.60416666666666663</v>
      </c>
      <c r="F134" t="s">
        <v>22</v>
      </c>
      <c r="G134" t="s">
        <v>34</v>
      </c>
      <c r="H134" t="s">
        <v>389</v>
      </c>
      <c r="I134" t="s">
        <v>364</v>
      </c>
      <c r="J134" s="3">
        <v>4289.1499999999996</v>
      </c>
      <c r="K134" s="1">
        <v>45008</v>
      </c>
      <c r="L134" t="s">
        <v>365</v>
      </c>
      <c r="M134" t="s">
        <v>366</v>
      </c>
      <c r="N134" t="s">
        <v>356</v>
      </c>
      <c r="O134" s="1">
        <v>30399</v>
      </c>
      <c r="P134">
        <v>8720989381</v>
      </c>
      <c r="Q134" t="s">
        <v>357</v>
      </c>
      <c r="R134">
        <v>45096</v>
      </c>
      <c r="S134" t="s">
        <v>367</v>
      </c>
      <c r="T134" t="s">
        <v>368</v>
      </c>
      <c r="U134" t="s">
        <v>360</v>
      </c>
      <c r="V134" t="s">
        <v>391</v>
      </c>
      <c r="W134" t="s">
        <v>308</v>
      </c>
      <c r="X134">
        <v>8322010158</v>
      </c>
      <c r="Y134">
        <v>17</v>
      </c>
      <c r="Z134" t="s">
        <v>299</v>
      </c>
      <c r="AA134" t="s">
        <v>369</v>
      </c>
      <c r="AB134" s="1">
        <v>45105</v>
      </c>
      <c r="AC134" s="3">
        <v>3731.55</v>
      </c>
      <c r="AD134" t="s">
        <v>317</v>
      </c>
      <c r="AE134" t="s">
        <v>363</v>
      </c>
    </row>
    <row r="135" spans="1:31" x14ac:dyDescent="0.3">
      <c r="A135" t="s">
        <v>198</v>
      </c>
      <c r="B135" t="s">
        <v>14</v>
      </c>
      <c r="C135" t="s">
        <v>15</v>
      </c>
      <c r="D135" s="1">
        <v>45216</v>
      </c>
      <c r="E135" s="2">
        <v>0.63541666666666663</v>
      </c>
      <c r="F135" t="s">
        <v>11</v>
      </c>
      <c r="G135" t="s">
        <v>4</v>
      </c>
      <c r="H135" t="s">
        <v>389</v>
      </c>
      <c r="I135" t="s">
        <v>364</v>
      </c>
      <c r="J135" s="3">
        <v>2844.31</v>
      </c>
      <c r="K135" s="1">
        <v>45216</v>
      </c>
      <c r="L135" t="s">
        <v>370</v>
      </c>
      <c r="M135" t="s">
        <v>371</v>
      </c>
      <c r="N135" t="s">
        <v>356</v>
      </c>
      <c r="O135" s="1">
        <v>24333</v>
      </c>
      <c r="P135">
        <v>7482069727</v>
      </c>
      <c r="Q135" t="s">
        <v>357</v>
      </c>
      <c r="R135">
        <v>44448</v>
      </c>
      <c r="S135" t="s">
        <v>372</v>
      </c>
      <c r="T135" t="s">
        <v>373</v>
      </c>
      <c r="U135" t="s">
        <v>344</v>
      </c>
      <c r="V135" t="s">
        <v>374</v>
      </c>
      <c r="W135" t="s">
        <v>310</v>
      </c>
      <c r="X135">
        <v>6570137231</v>
      </c>
      <c r="Y135">
        <v>23</v>
      </c>
      <c r="Z135" t="s">
        <v>297</v>
      </c>
      <c r="AA135" t="s">
        <v>375</v>
      </c>
      <c r="AB135" s="1">
        <v>45170</v>
      </c>
      <c r="AC135" s="3">
        <v>4799.8599999999997</v>
      </c>
      <c r="AD135" t="s">
        <v>317</v>
      </c>
      <c r="AE135" t="s">
        <v>376</v>
      </c>
    </row>
    <row r="136" spans="1:31" x14ac:dyDescent="0.3">
      <c r="A136" t="s">
        <v>199</v>
      </c>
      <c r="B136" t="s">
        <v>36</v>
      </c>
      <c r="C136" t="s">
        <v>67</v>
      </c>
      <c r="D136" s="1">
        <v>45178</v>
      </c>
      <c r="E136" s="2">
        <v>0.6875</v>
      </c>
      <c r="F136" t="s">
        <v>3</v>
      </c>
      <c r="G136" t="s">
        <v>4</v>
      </c>
      <c r="H136" t="s">
        <v>353</v>
      </c>
      <c r="I136" t="s">
        <v>364</v>
      </c>
      <c r="J136" s="3">
        <v>3306.14</v>
      </c>
      <c r="K136" s="1">
        <v>45178</v>
      </c>
      <c r="L136" t="s">
        <v>398</v>
      </c>
      <c r="M136" t="s">
        <v>399</v>
      </c>
      <c r="N136" t="s">
        <v>356</v>
      </c>
      <c r="O136" s="1">
        <v>20219</v>
      </c>
      <c r="P136">
        <v>6221099573</v>
      </c>
      <c r="Q136" t="s">
        <v>347</v>
      </c>
      <c r="R136">
        <v>44327</v>
      </c>
      <c r="S136" t="s">
        <v>358</v>
      </c>
      <c r="T136" t="s">
        <v>400</v>
      </c>
      <c r="U136" t="s">
        <v>350</v>
      </c>
      <c r="V136" t="s">
        <v>391</v>
      </c>
      <c r="W136" t="s">
        <v>308</v>
      </c>
      <c r="X136">
        <v>9118538547</v>
      </c>
      <c r="Y136">
        <v>26</v>
      </c>
      <c r="Z136" t="s">
        <v>297</v>
      </c>
      <c r="AA136" t="s">
        <v>401</v>
      </c>
      <c r="AB136" s="1">
        <v>45242</v>
      </c>
      <c r="AC136" s="3">
        <v>4671.66</v>
      </c>
      <c r="AD136" t="s">
        <v>311</v>
      </c>
      <c r="AE136" t="s">
        <v>376</v>
      </c>
    </row>
    <row r="137" spans="1:31" x14ac:dyDescent="0.3">
      <c r="A137" t="s">
        <v>200</v>
      </c>
      <c r="B137" t="s">
        <v>135</v>
      </c>
      <c r="C137" t="s">
        <v>2</v>
      </c>
      <c r="D137" s="1">
        <v>45059</v>
      </c>
      <c r="E137" s="2">
        <v>0.52083333333333337</v>
      </c>
      <c r="F137" t="s">
        <v>31</v>
      </c>
      <c r="G137" t="s">
        <v>34</v>
      </c>
      <c r="H137" t="s">
        <v>342</v>
      </c>
      <c r="I137" t="s">
        <v>364</v>
      </c>
      <c r="J137" s="3">
        <v>901.06</v>
      </c>
      <c r="K137" s="1">
        <v>45059</v>
      </c>
      <c r="L137" t="s">
        <v>404</v>
      </c>
      <c r="M137" t="s">
        <v>432</v>
      </c>
      <c r="N137" t="s">
        <v>346</v>
      </c>
      <c r="O137" s="1">
        <v>32960</v>
      </c>
      <c r="P137">
        <v>9059178882</v>
      </c>
      <c r="Q137" t="s">
        <v>347</v>
      </c>
      <c r="R137">
        <v>44553</v>
      </c>
      <c r="S137" t="s">
        <v>348</v>
      </c>
      <c r="T137" t="s">
        <v>459</v>
      </c>
      <c r="U137" t="s">
        <v>350</v>
      </c>
      <c r="V137" t="s">
        <v>345</v>
      </c>
      <c r="W137" t="s">
        <v>310</v>
      </c>
      <c r="X137">
        <v>7387087517</v>
      </c>
      <c r="Y137">
        <v>26</v>
      </c>
      <c r="Z137" t="s">
        <v>297</v>
      </c>
      <c r="AA137" t="s">
        <v>460</v>
      </c>
      <c r="AB137" s="1">
        <v>45186</v>
      </c>
      <c r="AC137" s="3">
        <v>3628.15</v>
      </c>
      <c r="AD137" t="s">
        <v>316</v>
      </c>
      <c r="AE137" t="s">
        <v>363</v>
      </c>
    </row>
    <row r="138" spans="1:31" x14ac:dyDescent="0.3">
      <c r="A138" t="s">
        <v>201</v>
      </c>
      <c r="B138" t="s">
        <v>93</v>
      </c>
      <c r="C138" t="s">
        <v>52</v>
      </c>
      <c r="D138" s="1">
        <v>45224</v>
      </c>
      <c r="E138" s="2">
        <v>0.41666666666666669</v>
      </c>
      <c r="F138" t="s">
        <v>19</v>
      </c>
      <c r="G138" t="s">
        <v>8</v>
      </c>
      <c r="H138" t="s">
        <v>413</v>
      </c>
      <c r="I138" t="s">
        <v>364</v>
      </c>
      <c r="J138" s="3">
        <v>3898.72</v>
      </c>
      <c r="K138" s="1">
        <v>45224</v>
      </c>
      <c r="L138" t="s">
        <v>350</v>
      </c>
      <c r="M138" t="s">
        <v>366</v>
      </c>
      <c r="N138" t="s">
        <v>356</v>
      </c>
      <c r="O138" s="1">
        <v>27538</v>
      </c>
      <c r="P138">
        <v>8618058864</v>
      </c>
      <c r="Q138" t="s">
        <v>386</v>
      </c>
      <c r="R138">
        <v>45101</v>
      </c>
      <c r="S138" t="s">
        <v>348</v>
      </c>
      <c r="T138" t="s">
        <v>439</v>
      </c>
      <c r="U138" t="s">
        <v>360</v>
      </c>
      <c r="V138" t="s">
        <v>391</v>
      </c>
      <c r="W138" t="s">
        <v>308</v>
      </c>
      <c r="X138">
        <v>8322010158</v>
      </c>
      <c r="Y138">
        <v>17</v>
      </c>
      <c r="Z138" t="s">
        <v>299</v>
      </c>
      <c r="AA138" t="s">
        <v>440</v>
      </c>
      <c r="AB138" s="1">
        <v>45280</v>
      </c>
      <c r="AC138" s="3">
        <v>1526.36</v>
      </c>
      <c r="AD138" t="s">
        <v>311</v>
      </c>
      <c r="AE138" t="s">
        <v>363</v>
      </c>
    </row>
    <row r="139" spans="1:31" x14ac:dyDescent="0.3">
      <c r="A139" t="s">
        <v>202</v>
      </c>
      <c r="B139" t="s">
        <v>61</v>
      </c>
      <c r="C139" t="s">
        <v>25</v>
      </c>
      <c r="D139" s="1">
        <v>45286</v>
      </c>
      <c r="E139" s="2">
        <v>0.63541666666666663</v>
      </c>
      <c r="F139" t="s">
        <v>31</v>
      </c>
      <c r="G139" t="s">
        <v>8</v>
      </c>
      <c r="H139" t="s">
        <v>413</v>
      </c>
      <c r="I139" t="s">
        <v>364</v>
      </c>
      <c r="J139" s="3">
        <v>1074.71</v>
      </c>
      <c r="K139" s="1">
        <v>45286</v>
      </c>
      <c r="L139" t="s">
        <v>360</v>
      </c>
      <c r="M139" t="s">
        <v>355</v>
      </c>
      <c r="N139" t="s">
        <v>356</v>
      </c>
      <c r="O139" s="1">
        <v>26629</v>
      </c>
      <c r="P139">
        <v>7712937941</v>
      </c>
      <c r="Q139" t="s">
        <v>347</v>
      </c>
      <c r="R139">
        <v>45091</v>
      </c>
      <c r="S139" t="s">
        <v>358</v>
      </c>
      <c r="T139" t="s">
        <v>420</v>
      </c>
      <c r="U139" t="s">
        <v>370</v>
      </c>
      <c r="V139" t="s">
        <v>374</v>
      </c>
      <c r="W139" t="s">
        <v>309</v>
      </c>
      <c r="X139">
        <v>8217493115</v>
      </c>
      <c r="Y139">
        <v>26</v>
      </c>
      <c r="Z139" t="s">
        <v>299</v>
      </c>
      <c r="AA139" t="s">
        <v>421</v>
      </c>
      <c r="AB139" s="1">
        <v>45098</v>
      </c>
      <c r="AC139" s="3">
        <v>3722.68</v>
      </c>
      <c r="AD139" t="s">
        <v>311</v>
      </c>
      <c r="AE139" t="s">
        <v>352</v>
      </c>
    </row>
    <row r="140" spans="1:31" x14ac:dyDescent="0.3">
      <c r="A140" t="s">
        <v>203</v>
      </c>
      <c r="B140" t="s">
        <v>77</v>
      </c>
      <c r="C140" t="s">
        <v>67</v>
      </c>
      <c r="D140" s="1">
        <v>45209</v>
      </c>
      <c r="E140" s="2">
        <v>0.44791666666666669</v>
      </c>
      <c r="F140" t="s">
        <v>3</v>
      </c>
      <c r="G140" t="s">
        <v>8</v>
      </c>
      <c r="H140" t="s">
        <v>353</v>
      </c>
      <c r="I140" t="s">
        <v>343</v>
      </c>
      <c r="J140" s="3">
        <v>4217.3</v>
      </c>
      <c r="K140" s="1">
        <v>45209</v>
      </c>
      <c r="L140" t="s">
        <v>390</v>
      </c>
      <c r="M140" t="s">
        <v>371</v>
      </c>
      <c r="N140" t="s">
        <v>356</v>
      </c>
      <c r="O140" s="1">
        <v>35790</v>
      </c>
      <c r="P140">
        <v>8545613046</v>
      </c>
      <c r="Q140" t="s">
        <v>357</v>
      </c>
      <c r="R140">
        <v>44838</v>
      </c>
      <c r="S140" t="s">
        <v>358</v>
      </c>
      <c r="T140" t="s">
        <v>428</v>
      </c>
      <c r="U140" t="s">
        <v>350</v>
      </c>
      <c r="V140" t="s">
        <v>391</v>
      </c>
      <c r="W140" t="s">
        <v>308</v>
      </c>
      <c r="X140">
        <v>9118538547</v>
      </c>
      <c r="Y140">
        <v>26</v>
      </c>
      <c r="Z140" t="s">
        <v>297</v>
      </c>
      <c r="AA140" t="s">
        <v>429</v>
      </c>
      <c r="AB140" s="1">
        <v>45034</v>
      </c>
      <c r="AC140" s="3">
        <v>1654.53</v>
      </c>
      <c r="AD140" t="s">
        <v>317</v>
      </c>
      <c r="AE140" t="s">
        <v>376</v>
      </c>
    </row>
    <row r="141" spans="1:31" x14ac:dyDescent="0.3">
      <c r="A141" t="s">
        <v>204</v>
      </c>
      <c r="B141" t="s">
        <v>43</v>
      </c>
      <c r="C141" t="s">
        <v>67</v>
      </c>
      <c r="D141" s="1">
        <v>44962</v>
      </c>
      <c r="E141" s="2">
        <v>0.63541666666666663</v>
      </c>
      <c r="F141" t="s">
        <v>22</v>
      </c>
      <c r="G141" t="s">
        <v>8</v>
      </c>
      <c r="H141" t="s">
        <v>389</v>
      </c>
      <c r="I141" t="s">
        <v>364</v>
      </c>
      <c r="J141" s="3">
        <v>4019.13</v>
      </c>
      <c r="K141" s="1">
        <v>44962</v>
      </c>
      <c r="L141" t="s">
        <v>404</v>
      </c>
      <c r="M141" t="s">
        <v>374</v>
      </c>
      <c r="N141" t="s">
        <v>346</v>
      </c>
      <c r="O141" s="1">
        <v>33580</v>
      </c>
      <c r="P141">
        <v>8135666049</v>
      </c>
      <c r="Q141" t="s">
        <v>347</v>
      </c>
      <c r="R141">
        <v>45043</v>
      </c>
      <c r="S141" t="s">
        <v>358</v>
      </c>
      <c r="T141" t="s">
        <v>407</v>
      </c>
      <c r="U141" t="s">
        <v>350</v>
      </c>
      <c r="V141" t="s">
        <v>391</v>
      </c>
      <c r="W141" t="s">
        <v>308</v>
      </c>
      <c r="X141">
        <v>9118538547</v>
      </c>
      <c r="Y141">
        <v>26</v>
      </c>
      <c r="Z141" t="s">
        <v>297</v>
      </c>
      <c r="AA141" t="s">
        <v>408</v>
      </c>
      <c r="AB141" s="1">
        <v>45071</v>
      </c>
      <c r="AC141" s="3">
        <v>2082.3000000000002</v>
      </c>
      <c r="AD141" t="s">
        <v>316</v>
      </c>
      <c r="AE141" t="s">
        <v>363</v>
      </c>
    </row>
    <row r="142" spans="1:31" x14ac:dyDescent="0.3">
      <c r="A142" t="s">
        <v>205</v>
      </c>
      <c r="B142" t="s">
        <v>154</v>
      </c>
      <c r="C142" t="s">
        <v>41</v>
      </c>
      <c r="D142" s="1">
        <v>45092</v>
      </c>
      <c r="E142" s="2">
        <v>0.63541666666666663</v>
      </c>
      <c r="F142" t="s">
        <v>22</v>
      </c>
      <c r="G142" t="s">
        <v>34</v>
      </c>
      <c r="H142" t="s">
        <v>377</v>
      </c>
      <c r="I142" t="s">
        <v>343</v>
      </c>
      <c r="J142" s="3">
        <v>3689.35</v>
      </c>
      <c r="K142" s="1">
        <v>45092</v>
      </c>
      <c r="L142" t="s">
        <v>370</v>
      </c>
      <c r="M142" t="s">
        <v>378</v>
      </c>
      <c r="N142" t="s">
        <v>356</v>
      </c>
      <c r="O142" s="1">
        <v>18798</v>
      </c>
      <c r="P142">
        <v>7020645498</v>
      </c>
      <c r="Q142" t="s">
        <v>379</v>
      </c>
      <c r="R142">
        <v>44758</v>
      </c>
      <c r="S142" t="s">
        <v>348</v>
      </c>
      <c r="T142" t="s">
        <v>465</v>
      </c>
      <c r="U142" t="s">
        <v>381</v>
      </c>
      <c r="V142" t="s">
        <v>374</v>
      </c>
      <c r="W142" t="s">
        <v>310</v>
      </c>
      <c r="X142">
        <v>9004382050</v>
      </c>
      <c r="Y142">
        <v>24</v>
      </c>
      <c r="Z142" t="s">
        <v>298</v>
      </c>
      <c r="AA142" t="s">
        <v>466</v>
      </c>
      <c r="AB142" s="1">
        <v>45024</v>
      </c>
      <c r="AC142" s="3">
        <v>1519.95</v>
      </c>
      <c r="AD142" t="s">
        <v>311</v>
      </c>
      <c r="AE142" t="s">
        <v>376</v>
      </c>
    </row>
    <row r="143" spans="1:31" x14ac:dyDescent="0.3">
      <c r="A143" t="s">
        <v>206</v>
      </c>
      <c r="B143" t="s">
        <v>93</v>
      </c>
      <c r="C143" t="s">
        <v>18</v>
      </c>
      <c r="D143" s="1">
        <v>45231</v>
      </c>
      <c r="E143" s="2">
        <v>0.48958333333333331</v>
      </c>
      <c r="F143" t="s">
        <v>3</v>
      </c>
      <c r="G143" t="s">
        <v>8</v>
      </c>
      <c r="H143" t="s">
        <v>353</v>
      </c>
      <c r="I143" t="s">
        <v>354</v>
      </c>
      <c r="J143" s="3">
        <v>662.72</v>
      </c>
      <c r="K143" s="1">
        <v>45231</v>
      </c>
      <c r="L143" t="s">
        <v>350</v>
      </c>
      <c r="M143" t="s">
        <v>366</v>
      </c>
      <c r="N143" t="s">
        <v>356</v>
      </c>
      <c r="O143" s="1">
        <v>27538</v>
      </c>
      <c r="P143">
        <v>8618058864</v>
      </c>
      <c r="Q143" t="s">
        <v>386</v>
      </c>
      <c r="R143">
        <v>45101</v>
      </c>
      <c r="S143" t="s">
        <v>348</v>
      </c>
      <c r="T143" t="s">
        <v>439</v>
      </c>
      <c r="U143" t="s">
        <v>381</v>
      </c>
      <c r="V143" t="s">
        <v>345</v>
      </c>
      <c r="W143" t="s">
        <v>310</v>
      </c>
      <c r="X143">
        <v>8737740598</v>
      </c>
      <c r="Y143">
        <v>19</v>
      </c>
      <c r="Z143" t="s">
        <v>298</v>
      </c>
      <c r="AA143" t="s">
        <v>440</v>
      </c>
      <c r="AB143" s="1">
        <v>45280</v>
      </c>
      <c r="AC143" s="3">
        <v>1526.36</v>
      </c>
      <c r="AD143" t="s">
        <v>311</v>
      </c>
      <c r="AE143" t="s">
        <v>363</v>
      </c>
    </row>
    <row r="144" spans="1:31" x14ac:dyDescent="0.3">
      <c r="A144" t="s">
        <v>207</v>
      </c>
      <c r="B144" t="s">
        <v>43</v>
      </c>
      <c r="C144" t="s">
        <v>25</v>
      </c>
      <c r="D144" s="1">
        <v>45190</v>
      </c>
      <c r="E144" s="2">
        <v>0.51041666666666663</v>
      </c>
      <c r="F144" t="s">
        <v>22</v>
      </c>
      <c r="G144" t="s">
        <v>12</v>
      </c>
      <c r="H144" t="s">
        <v>353</v>
      </c>
      <c r="I144" t="s">
        <v>364</v>
      </c>
      <c r="J144" s="3">
        <v>1864.08</v>
      </c>
      <c r="K144" s="1">
        <v>45190</v>
      </c>
      <c r="L144" t="s">
        <v>404</v>
      </c>
      <c r="M144" t="s">
        <v>374</v>
      </c>
      <c r="N144" t="s">
        <v>346</v>
      </c>
      <c r="O144" s="1">
        <v>33580</v>
      </c>
      <c r="P144">
        <v>8135666049</v>
      </c>
      <c r="Q144" t="s">
        <v>347</v>
      </c>
      <c r="R144">
        <v>45043</v>
      </c>
      <c r="S144" t="s">
        <v>358</v>
      </c>
      <c r="T144" t="s">
        <v>407</v>
      </c>
      <c r="U144" t="s">
        <v>370</v>
      </c>
      <c r="V144" t="s">
        <v>374</v>
      </c>
      <c r="W144" t="s">
        <v>309</v>
      </c>
      <c r="X144">
        <v>8217493115</v>
      </c>
      <c r="Y144">
        <v>26</v>
      </c>
      <c r="Z144" t="s">
        <v>299</v>
      </c>
      <c r="AA144" t="s">
        <v>408</v>
      </c>
      <c r="AB144" s="1">
        <v>45071</v>
      </c>
      <c r="AC144" s="3">
        <v>2082.3000000000002</v>
      </c>
      <c r="AD144" t="s">
        <v>316</v>
      </c>
      <c r="AE144" t="s">
        <v>363</v>
      </c>
    </row>
    <row r="145" spans="1:31" x14ac:dyDescent="0.3">
      <c r="A145" t="s">
        <v>208</v>
      </c>
      <c r="B145" t="s">
        <v>170</v>
      </c>
      <c r="C145" t="s">
        <v>15</v>
      </c>
      <c r="D145" s="1">
        <v>45154</v>
      </c>
      <c r="E145" s="2">
        <v>0.51041666666666663</v>
      </c>
      <c r="F145" t="s">
        <v>22</v>
      </c>
      <c r="G145" t="s">
        <v>8</v>
      </c>
      <c r="H145" t="s">
        <v>342</v>
      </c>
      <c r="I145" t="s">
        <v>354</v>
      </c>
      <c r="J145" s="3">
        <v>1684.01</v>
      </c>
      <c r="K145" s="1">
        <v>45154</v>
      </c>
      <c r="L145" t="s">
        <v>404</v>
      </c>
      <c r="M145" t="s">
        <v>374</v>
      </c>
      <c r="N145" t="s">
        <v>356</v>
      </c>
      <c r="O145" s="1">
        <v>26278</v>
      </c>
      <c r="P145">
        <v>7060324619</v>
      </c>
      <c r="Q145" t="s">
        <v>347</v>
      </c>
      <c r="R145">
        <v>44822</v>
      </c>
      <c r="S145" t="s">
        <v>367</v>
      </c>
      <c r="T145" t="s">
        <v>471</v>
      </c>
      <c r="U145" t="s">
        <v>344</v>
      </c>
      <c r="V145" t="s">
        <v>374</v>
      </c>
      <c r="W145" t="s">
        <v>310</v>
      </c>
      <c r="X145">
        <v>6570137231</v>
      </c>
      <c r="Y145">
        <v>23</v>
      </c>
      <c r="Z145" t="s">
        <v>297</v>
      </c>
      <c r="AA145" t="s">
        <v>472</v>
      </c>
      <c r="AB145" s="1">
        <v>45033</v>
      </c>
      <c r="AC145" s="3">
        <v>3512.69</v>
      </c>
      <c r="AD145" t="s">
        <v>316</v>
      </c>
      <c r="AE145" t="s">
        <v>352</v>
      </c>
    </row>
    <row r="146" spans="1:31" x14ac:dyDescent="0.3">
      <c r="A146" t="s">
        <v>209</v>
      </c>
      <c r="B146" t="s">
        <v>156</v>
      </c>
      <c r="C146" t="s">
        <v>41</v>
      </c>
      <c r="D146" s="1">
        <v>45241</v>
      </c>
      <c r="E146" s="2">
        <v>0.61458333333333337</v>
      </c>
      <c r="F146" t="s">
        <v>22</v>
      </c>
      <c r="G146" t="s">
        <v>4</v>
      </c>
      <c r="H146" t="s">
        <v>413</v>
      </c>
      <c r="I146" t="s">
        <v>354</v>
      </c>
      <c r="J146" s="3">
        <v>2120.61</v>
      </c>
      <c r="K146" s="1">
        <v>45241</v>
      </c>
      <c r="L146" t="s">
        <v>344</v>
      </c>
      <c r="M146" t="s">
        <v>432</v>
      </c>
      <c r="N146" t="s">
        <v>346</v>
      </c>
      <c r="O146" s="1">
        <v>32667</v>
      </c>
      <c r="P146">
        <v>6278710077</v>
      </c>
      <c r="Q146" t="s">
        <v>386</v>
      </c>
      <c r="R146">
        <v>44555</v>
      </c>
      <c r="S146" t="s">
        <v>358</v>
      </c>
      <c r="T146" t="s">
        <v>467</v>
      </c>
      <c r="U146" t="s">
        <v>381</v>
      </c>
      <c r="V146" t="s">
        <v>374</v>
      </c>
      <c r="W146" t="s">
        <v>310</v>
      </c>
      <c r="X146">
        <v>9004382050</v>
      </c>
      <c r="Y146">
        <v>24</v>
      </c>
      <c r="Z146" t="s">
        <v>298</v>
      </c>
      <c r="AA146" t="s">
        <v>468</v>
      </c>
      <c r="AB146" s="1">
        <v>45055</v>
      </c>
      <c r="AC146" s="3">
        <v>2097.48</v>
      </c>
      <c r="AD146" t="s">
        <v>311</v>
      </c>
      <c r="AE146" t="s">
        <v>376</v>
      </c>
    </row>
    <row r="147" spans="1:31" x14ac:dyDescent="0.3">
      <c r="A147" t="s">
        <v>210</v>
      </c>
      <c r="B147" t="s">
        <v>56</v>
      </c>
      <c r="C147" t="s">
        <v>15</v>
      </c>
      <c r="D147" s="1">
        <v>44931</v>
      </c>
      <c r="E147" s="2">
        <v>0.39583333333333331</v>
      </c>
      <c r="F147" t="s">
        <v>19</v>
      </c>
      <c r="G147" t="s">
        <v>8</v>
      </c>
      <c r="H147" t="s">
        <v>353</v>
      </c>
      <c r="I147" t="s">
        <v>354</v>
      </c>
      <c r="J147" s="3">
        <v>894.39</v>
      </c>
      <c r="K147" s="1">
        <v>44931</v>
      </c>
      <c r="L147" t="s">
        <v>344</v>
      </c>
      <c r="M147" t="s">
        <v>355</v>
      </c>
      <c r="N147" t="s">
        <v>356</v>
      </c>
      <c r="O147" s="1">
        <v>34072</v>
      </c>
      <c r="P147">
        <v>7028910482</v>
      </c>
      <c r="Q147" t="s">
        <v>347</v>
      </c>
      <c r="R147">
        <v>45066</v>
      </c>
      <c r="S147" t="s">
        <v>358</v>
      </c>
      <c r="T147" t="s">
        <v>416</v>
      </c>
      <c r="U147" t="s">
        <v>344</v>
      </c>
      <c r="V147" t="s">
        <v>374</v>
      </c>
      <c r="W147" t="s">
        <v>310</v>
      </c>
      <c r="X147">
        <v>6570137231</v>
      </c>
      <c r="Y147">
        <v>23</v>
      </c>
      <c r="Z147" t="s">
        <v>297</v>
      </c>
      <c r="AA147" t="s">
        <v>417</v>
      </c>
      <c r="AB147" s="1">
        <v>45040</v>
      </c>
      <c r="AC147" s="3">
        <v>2926.23</v>
      </c>
      <c r="AD147" t="s">
        <v>317</v>
      </c>
      <c r="AE147" t="s">
        <v>376</v>
      </c>
    </row>
    <row r="148" spans="1:31" x14ac:dyDescent="0.3">
      <c r="A148" t="s">
        <v>211</v>
      </c>
      <c r="B148" t="s">
        <v>54</v>
      </c>
      <c r="C148" t="s">
        <v>41</v>
      </c>
      <c r="D148" s="1">
        <v>45243</v>
      </c>
      <c r="E148" s="2">
        <v>0.72916666666666663</v>
      </c>
      <c r="F148" t="s">
        <v>19</v>
      </c>
      <c r="G148" t="s">
        <v>34</v>
      </c>
      <c r="H148" t="s">
        <v>353</v>
      </c>
      <c r="I148" t="s">
        <v>343</v>
      </c>
      <c r="J148" s="3">
        <v>4716.3100000000004</v>
      </c>
      <c r="K148" s="1">
        <v>45243</v>
      </c>
      <c r="L148" t="s">
        <v>344</v>
      </c>
      <c r="M148" t="s">
        <v>391</v>
      </c>
      <c r="N148" t="s">
        <v>356</v>
      </c>
      <c r="O148" s="1">
        <v>24895</v>
      </c>
      <c r="P148">
        <v>7292262512</v>
      </c>
      <c r="Q148" t="s">
        <v>386</v>
      </c>
      <c r="R148">
        <v>45272</v>
      </c>
      <c r="S148" t="s">
        <v>358</v>
      </c>
      <c r="T148" t="s">
        <v>414</v>
      </c>
      <c r="U148" t="s">
        <v>381</v>
      </c>
      <c r="V148" t="s">
        <v>374</v>
      </c>
      <c r="W148" t="s">
        <v>310</v>
      </c>
      <c r="X148">
        <v>9004382050</v>
      </c>
      <c r="Y148">
        <v>24</v>
      </c>
      <c r="Z148" t="s">
        <v>298</v>
      </c>
      <c r="AA148" t="s">
        <v>415</v>
      </c>
      <c r="AB148" s="1">
        <v>45265</v>
      </c>
      <c r="AC148" s="3">
        <v>4113.62</v>
      </c>
      <c r="AD148" t="s">
        <v>316</v>
      </c>
      <c r="AE148" t="s">
        <v>376</v>
      </c>
    </row>
    <row r="149" spans="1:31" x14ac:dyDescent="0.3">
      <c r="A149" t="s">
        <v>212</v>
      </c>
      <c r="B149" t="s">
        <v>90</v>
      </c>
      <c r="C149" t="s">
        <v>41</v>
      </c>
      <c r="D149" s="1">
        <v>45266</v>
      </c>
      <c r="E149" s="2">
        <v>0.35416666666666669</v>
      </c>
      <c r="F149" t="s">
        <v>11</v>
      </c>
      <c r="G149" t="s">
        <v>4</v>
      </c>
      <c r="H149" t="s">
        <v>389</v>
      </c>
      <c r="I149" t="s">
        <v>354</v>
      </c>
      <c r="J149" s="3">
        <v>2992.11</v>
      </c>
      <c r="K149" s="1">
        <v>45266</v>
      </c>
      <c r="L149" t="s">
        <v>370</v>
      </c>
      <c r="M149" t="s">
        <v>366</v>
      </c>
      <c r="N149" t="s">
        <v>356</v>
      </c>
      <c r="O149" s="1">
        <v>31791</v>
      </c>
      <c r="P149">
        <v>8280346676</v>
      </c>
      <c r="Q149" t="s">
        <v>347</v>
      </c>
      <c r="R149">
        <v>44740</v>
      </c>
      <c r="S149" t="s">
        <v>348</v>
      </c>
      <c r="T149" t="s">
        <v>437</v>
      </c>
      <c r="U149" t="s">
        <v>381</v>
      </c>
      <c r="V149" t="s">
        <v>374</v>
      </c>
      <c r="W149" t="s">
        <v>310</v>
      </c>
      <c r="X149">
        <v>9004382050</v>
      </c>
      <c r="Y149">
        <v>24</v>
      </c>
      <c r="Z149" t="s">
        <v>298</v>
      </c>
      <c r="AA149" t="s">
        <v>438</v>
      </c>
      <c r="AB149" s="1">
        <v>45189</v>
      </c>
      <c r="AC149" s="3">
        <v>4186.3500000000004</v>
      </c>
      <c r="AD149" t="s">
        <v>317</v>
      </c>
      <c r="AE149" t="s">
        <v>363</v>
      </c>
    </row>
    <row r="150" spans="1:31" x14ac:dyDescent="0.3">
      <c r="A150" t="s">
        <v>213</v>
      </c>
      <c r="B150" t="s">
        <v>93</v>
      </c>
      <c r="C150" t="s">
        <v>41</v>
      </c>
      <c r="D150" s="1">
        <v>45133</v>
      </c>
      <c r="E150" s="2">
        <v>0.52083333333333337</v>
      </c>
      <c r="F150" t="s">
        <v>31</v>
      </c>
      <c r="G150" t="s">
        <v>34</v>
      </c>
      <c r="H150" t="s">
        <v>389</v>
      </c>
      <c r="I150" t="s">
        <v>354</v>
      </c>
      <c r="J150" s="3">
        <v>1874.86</v>
      </c>
      <c r="K150" s="1">
        <v>45133</v>
      </c>
      <c r="L150" t="s">
        <v>350</v>
      </c>
      <c r="M150" t="s">
        <v>366</v>
      </c>
      <c r="N150" t="s">
        <v>356</v>
      </c>
      <c r="O150" s="1">
        <v>27538</v>
      </c>
      <c r="P150">
        <v>8618058864</v>
      </c>
      <c r="Q150" t="s">
        <v>386</v>
      </c>
      <c r="R150">
        <v>45101</v>
      </c>
      <c r="S150" t="s">
        <v>348</v>
      </c>
      <c r="T150" t="s">
        <v>439</v>
      </c>
      <c r="U150" t="s">
        <v>381</v>
      </c>
      <c r="V150" t="s">
        <v>374</v>
      </c>
      <c r="W150" t="s">
        <v>310</v>
      </c>
      <c r="X150">
        <v>9004382050</v>
      </c>
      <c r="Y150">
        <v>24</v>
      </c>
      <c r="Z150" t="s">
        <v>298</v>
      </c>
      <c r="AA150" t="s">
        <v>440</v>
      </c>
      <c r="AB150" s="1">
        <v>45280</v>
      </c>
      <c r="AC150" s="3">
        <v>1526.36</v>
      </c>
      <c r="AD150" t="s">
        <v>311</v>
      </c>
      <c r="AE150" t="s">
        <v>363</v>
      </c>
    </row>
    <row r="151" spans="1:31" x14ac:dyDescent="0.3">
      <c r="A151" t="s">
        <v>214</v>
      </c>
      <c r="B151" t="s">
        <v>59</v>
      </c>
      <c r="C151" t="s">
        <v>18</v>
      </c>
      <c r="D151" s="1">
        <v>45154</v>
      </c>
      <c r="E151" s="2">
        <v>0.44791666666666669</v>
      </c>
      <c r="F151" t="s">
        <v>3</v>
      </c>
      <c r="G151" t="s">
        <v>34</v>
      </c>
      <c r="H151" t="s">
        <v>377</v>
      </c>
      <c r="I151" t="s">
        <v>354</v>
      </c>
      <c r="J151" s="3">
        <v>2286.42</v>
      </c>
      <c r="K151" s="1">
        <v>45154</v>
      </c>
      <c r="L151" t="s">
        <v>381</v>
      </c>
      <c r="M151" t="s">
        <v>355</v>
      </c>
      <c r="N151" t="s">
        <v>356</v>
      </c>
      <c r="O151" s="1">
        <v>35046</v>
      </c>
      <c r="P151">
        <v>8715732851</v>
      </c>
      <c r="Q151" t="s">
        <v>347</v>
      </c>
      <c r="R151">
        <v>44701</v>
      </c>
      <c r="S151" t="s">
        <v>348</v>
      </c>
      <c r="T151" t="s">
        <v>418</v>
      </c>
      <c r="U151" t="s">
        <v>381</v>
      </c>
      <c r="V151" t="s">
        <v>345</v>
      </c>
      <c r="W151" t="s">
        <v>310</v>
      </c>
      <c r="X151">
        <v>8737740598</v>
      </c>
      <c r="Y151">
        <v>19</v>
      </c>
      <c r="Z151" t="s">
        <v>298</v>
      </c>
      <c r="AA151" t="s">
        <v>419</v>
      </c>
      <c r="AB151" s="1">
        <v>45055</v>
      </c>
      <c r="AC151" s="3">
        <v>3246.5</v>
      </c>
      <c r="AD151" t="s">
        <v>316</v>
      </c>
      <c r="AE151" t="s">
        <v>352</v>
      </c>
    </row>
    <row r="152" spans="1:31" x14ac:dyDescent="0.3">
      <c r="A152" t="s">
        <v>215</v>
      </c>
      <c r="B152" t="s">
        <v>27</v>
      </c>
      <c r="C152" t="s">
        <v>41</v>
      </c>
      <c r="D152" s="1">
        <v>44954</v>
      </c>
      <c r="E152" s="2">
        <v>0.38541666666666669</v>
      </c>
      <c r="F152" t="s">
        <v>3</v>
      </c>
      <c r="G152" t="s">
        <v>4</v>
      </c>
      <c r="H152" t="s">
        <v>342</v>
      </c>
      <c r="I152" t="s">
        <v>364</v>
      </c>
      <c r="J152" s="3">
        <v>2512.41</v>
      </c>
      <c r="K152" s="1">
        <v>44954</v>
      </c>
      <c r="L152" t="s">
        <v>390</v>
      </c>
      <c r="M152" t="s">
        <v>391</v>
      </c>
      <c r="N152" t="s">
        <v>356</v>
      </c>
      <c r="O152" s="1">
        <v>36729</v>
      </c>
      <c r="P152">
        <v>7223380592</v>
      </c>
      <c r="Q152" t="s">
        <v>386</v>
      </c>
      <c r="R152">
        <v>44400</v>
      </c>
      <c r="S152" t="s">
        <v>367</v>
      </c>
      <c r="T152" t="s">
        <v>392</v>
      </c>
      <c r="U152" t="s">
        <v>381</v>
      </c>
      <c r="V152" t="s">
        <v>374</v>
      </c>
      <c r="W152" t="s">
        <v>310</v>
      </c>
      <c r="X152">
        <v>9004382050</v>
      </c>
      <c r="Y152">
        <v>24</v>
      </c>
      <c r="Z152" t="s">
        <v>298</v>
      </c>
      <c r="AA152" t="s">
        <v>393</v>
      </c>
      <c r="AB152" s="1">
        <v>45070</v>
      </c>
      <c r="AC152" s="3">
        <v>3413.64</v>
      </c>
      <c r="AD152" t="s">
        <v>311</v>
      </c>
      <c r="AE152" t="s">
        <v>376</v>
      </c>
    </row>
    <row r="153" spans="1:31" x14ac:dyDescent="0.3">
      <c r="A153" t="s">
        <v>216</v>
      </c>
      <c r="B153" t="s">
        <v>33</v>
      </c>
      <c r="C153" t="s">
        <v>7</v>
      </c>
      <c r="D153" s="1">
        <v>45030</v>
      </c>
      <c r="E153" s="2">
        <v>0.35416666666666669</v>
      </c>
      <c r="F153" t="s">
        <v>3</v>
      </c>
      <c r="G153" t="s">
        <v>34</v>
      </c>
      <c r="H153" t="s">
        <v>377</v>
      </c>
      <c r="I153" t="s">
        <v>364</v>
      </c>
      <c r="J153" s="3">
        <v>3202.67</v>
      </c>
      <c r="K153" s="1">
        <v>45030</v>
      </c>
      <c r="L153" t="s">
        <v>360</v>
      </c>
      <c r="M153" t="s">
        <v>371</v>
      </c>
      <c r="N153" t="s">
        <v>356</v>
      </c>
      <c r="O153" s="1">
        <v>22090</v>
      </c>
      <c r="P153">
        <v>7734463155</v>
      </c>
      <c r="Q153" t="s">
        <v>357</v>
      </c>
      <c r="R153">
        <v>44468</v>
      </c>
      <c r="S153" t="s">
        <v>358</v>
      </c>
      <c r="T153" t="s">
        <v>396</v>
      </c>
      <c r="U153" t="s">
        <v>360</v>
      </c>
      <c r="V153" t="s">
        <v>361</v>
      </c>
      <c r="W153" t="s">
        <v>310</v>
      </c>
      <c r="X153">
        <v>6594221991</v>
      </c>
      <c r="Y153">
        <v>28</v>
      </c>
      <c r="Z153" t="s">
        <v>297</v>
      </c>
      <c r="AA153" t="s">
        <v>397</v>
      </c>
      <c r="AB153" s="1">
        <v>44939</v>
      </c>
      <c r="AC153" s="3">
        <v>1595.67</v>
      </c>
      <c r="AD153" t="s">
        <v>311</v>
      </c>
      <c r="AE153" t="s">
        <v>363</v>
      </c>
    </row>
    <row r="154" spans="1:31" x14ac:dyDescent="0.3">
      <c r="A154" t="s">
        <v>217</v>
      </c>
      <c r="B154" t="s">
        <v>118</v>
      </c>
      <c r="C154" t="s">
        <v>2</v>
      </c>
      <c r="D154" s="1">
        <v>45115</v>
      </c>
      <c r="E154" s="2">
        <v>0.53125</v>
      </c>
      <c r="F154" t="s">
        <v>11</v>
      </c>
      <c r="G154" t="s">
        <v>34</v>
      </c>
      <c r="H154" t="s">
        <v>389</v>
      </c>
      <c r="I154" t="s">
        <v>343</v>
      </c>
      <c r="J154" s="3">
        <v>2820.56</v>
      </c>
      <c r="K154" s="1">
        <v>45115</v>
      </c>
      <c r="L154" t="s">
        <v>360</v>
      </c>
      <c r="M154" t="s">
        <v>371</v>
      </c>
      <c r="N154" t="s">
        <v>346</v>
      </c>
      <c r="O154" s="1">
        <v>34072</v>
      </c>
      <c r="P154">
        <v>7039619487</v>
      </c>
      <c r="Q154" t="s">
        <v>357</v>
      </c>
      <c r="R154">
        <v>45116</v>
      </c>
      <c r="S154" t="s">
        <v>358</v>
      </c>
      <c r="T154" t="s">
        <v>453</v>
      </c>
      <c r="U154" t="s">
        <v>350</v>
      </c>
      <c r="V154" t="s">
        <v>345</v>
      </c>
      <c r="W154" t="s">
        <v>310</v>
      </c>
      <c r="X154">
        <v>7387087517</v>
      </c>
      <c r="Y154">
        <v>26</v>
      </c>
      <c r="Z154" t="s">
        <v>297</v>
      </c>
      <c r="AA154" t="s">
        <v>454</v>
      </c>
      <c r="AB154" s="1">
        <v>45077</v>
      </c>
      <c r="AC154" s="3">
        <v>3815.93</v>
      </c>
      <c r="AD154" t="s">
        <v>311</v>
      </c>
      <c r="AE154" t="s">
        <v>363</v>
      </c>
    </row>
    <row r="155" spans="1:31" x14ac:dyDescent="0.3">
      <c r="A155" t="s">
        <v>218</v>
      </c>
      <c r="B155" t="s">
        <v>43</v>
      </c>
      <c r="C155" t="s">
        <v>15</v>
      </c>
      <c r="D155" s="1">
        <v>44991</v>
      </c>
      <c r="E155" s="2">
        <v>0.72916666666666663</v>
      </c>
      <c r="F155" t="s">
        <v>19</v>
      </c>
      <c r="G155" t="s">
        <v>8</v>
      </c>
      <c r="H155" t="s">
        <v>413</v>
      </c>
      <c r="I155" t="s">
        <v>343</v>
      </c>
      <c r="J155" s="3">
        <v>4637.26</v>
      </c>
      <c r="K155" s="1">
        <v>44991</v>
      </c>
      <c r="L155" t="s">
        <v>404</v>
      </c>
      <c r="M155" t="s">
        <v>374</v>
      </c>
      <c r="N155" t="s">
        <v>346</v>
      </c>
      <c r="O155" s="1">
        <v>33580</v>
      </c>
      <c r="P155">
        <v>8135666049</v>
      </c>
      <c r="Q155" t="s">
        <v>347</v>
      </c>
      <c r="R155">
        <v>45043</v>
      </c>
      <c r="S155" t="s">
        <v>358</v>
      </c>
      <c r="T155" t="s">
        <v>407</v>
      </c>
      <c r="U155" t="s">
        <v>344</v>
      </c>
      <c r="V155" t="s">
        <v>374</v>
      </c>
      <c r="W155" t="s">
        <v>310</v>
      </c>
      <c r="X155">
        <v>6570137231</v>
      </c>
      <c r="Y155">
        <v>23</v>
      </c>
      <c r="Z155" t="s">
        <v>297</v>
      </c>
      <c r="AA155" t="s">
        <v>408</v>
      </c>
      <c r="AB155" s="1">
        <v>45071</v>
      </c>
      <c r="AC155" s="3">
        <v>2082.3000000000002</v>
      </c>
      <c r="AD155" t="s">
        <v>316</v>
      </c>
      <c r="AE155" t="s">
        <v>363</v>
      </c>
    </row>
    <row r="156" spans="1:31" x14ac:dyDescent="0.3">
      <c r="A156" t="s">
        <v>219</v>
      </c>
      <c r="B156" t="s">
        <v>14</v>
      </c>
      <c r="C156" t="s">
        <v>52</v>
      </c>
      <c r="D156" s="1">
        <v>44929</v>
      </c>
      <c r="E156" s="2">
        <v>0.39583333333333331</v>
      </c>
      <c r="F156" t="s">
        <v>11</v>
      </c>
      <c r="G156" t="s">
        <v>12</v>
      </c>
      <c r="H156" t="s">
        <v>389</v>
      </c>
      <c r="I156" t="s">
        <v>364</v>
      </c>
      <c r="J156" s="3">
        <v>2736.34</v>
      </c>
      <c r="K156" s="1">
        <v>44929</v>
      </c>
      <c r="L156" t="s">
        <v>370</v>
      </c>
      <c r="M156" t="s">
        <v>371</v>
      </c>
      <c r="N156" t="s">
        <v>356</v>
      </c>
      <c r="O156" s="1">
        <v>24333</v>
      </c>
      <c r="P156">
        <v>7482069727</v>
      </c>
      <c r="Q156" t="s">
        <v>357</v>
      </c>
      <c r="R156">
        <v>44448</v>
      </c>
      <c r="S156" t="s">
        <v>372</v>
      </c>
      <c r="T156" t="s">
        <v>373</v>
      </c>
      <c r="U156" t="s">
        <v>360</v>
      </c>
      <c r="V156" t="s">
        <v>391</v>
      </c>
      <c r="W156" t="s">
        <v>308</v>
      </c>
      <c r="X156">
        <v>8322010158</v>
      </c>
      <c r="Y156">
        <v>17</v>
      </c>
      <c r="Z156" t="s">
        <v>299</v>
      </c>
      <c r="AA156" t="s">
        <v>375</v>
      </c>
      <c r="AB156" s="1">
        <v>45170</v>
      </c>
      <c r="AC156" s="3">
        <v>4799.8599999999997</v>
      </c>
      <c r="AD156" t="s">
        <v>317</v>
      </c>
      <c r="AE156" t="s">
        <v>376</v>
      </c>
    </row>
    <row r="157" spans="1:31" x14ac:dyDescent="0.3">
      <c r="A157" t="s">
        <v>220</v>
      </c>
      <c r="B157" t="s">
        <v>74</v>
      </c>
      <c r="C157" t="s">
        <v>47</v>
      </c>
      <c r="D157" s="1">
        <v>45252</v>
      </c>
      <c r="E157" s="2">
        <v>0.60416666666666663</v>
      </c>
      <c r="F157" t="s">
        <v>3</v>
      </c>
      <c r="G157" t="s">
        <v>34</v>
      </c>
      <c r="H157" t="s">
        <v>342</v>
      </c>
      <c r="I157" t="s">
        <v>343</v>
      </c>
      <c r="J157" s="3">
        <v>4964.71</v>
      </c>
      <c r="K157" s="1">
        <v>45252</v>
      </c>
      <c r="L157" t="s">
        <v>390</v>
      </c>
      <c r="M157" t="s">
        <v>371</v>
      </c>
      <c r="N157" t="s">
        <v>356</v>
      </c>
      <c r="O157" s="1">
        <v>37316</v>
      </c>
      <c r="P157">
        <v>7765390555</v>
      </c>
      <c r="Q157" t="s">
        <v>347</v>
      </c>
      <c r="R157">
        <v>44580</v>
      </c>
      <c r="S157" t="s">
        <v>348</v>
      </c>
      <c r="T157" t="s">
        <v>426</v>
      </c>
      <c r="U157" t="s">
        <v>383</v>
      </c>
      <c r="V157" t="s">
        <v>399</v>
      </c>
      <c r="W157" t="s">
        <v>308</v>
      </c>
      <c r="X157">
        <v>9069162601</v>
      </c>
      <c r="Y157">
        <v>5</v>
      </c>
      <c r="Z157" t="s">
        <v>299</v>
      </c>
      <c r="AA157" t="s">
        <v>427</v>
      </c>
      <c r="AB157" s="1">
        <v>45192</v>
      </c>
      <c r="AC157" s="3">
        <v>980.95</v>
      </c>
      <c r="AD157" t="s">
        <v>316</v>
      </c>
      <c r="AE157" t="s">
        <v>363</v>
      </c>
    </row>
    <row r="158" spans="1:31" x14ac:dyDescent="0.3">
      <c r="A158" t="s">
        <v>221</v>
      </c>
      <c r="B158" t="s">
        <v>77</v>
      </c>
      <c r="C158" t="s">
        <v>25</v>
      </c>
      <c r="D158" s="1">
        <v>45058</v>
      </c>
      <c r="E158" s="2">
        <v>0.45833333333333331</v>
      </c>
      <c r="F158" t="s">
        <v>31</v>
      </c>
      <c r="G158" t="s">
        <v>34</v>
      </c>
      <c r="H158" t="s">
        <v>389</v>
      </c>
      <c r="I158" t="s">
        <v>364</v>
      </c>
      <c r="J158" s="3">
        <v>4331.41</v>
      </c>
      <c r="K158" s="1">
        <v>45058</v>
      </c>
      <c r="L158" t="s">
        <v>390</v>
      </c>
      <c r="M158" t="s">
        <v>371</v>
      </c>
      <c r="N158" t="s">
        <v>356</v>
      </c>
      <c r="O158" s="1">
        <v>35790</v>
      </c>
      <c r="P158">
        <v>8545613046</v>
      </c>
      <c r="Q158" t="s">
        <v>357</v>
      </c>
      <c r="R158">
        <v>44838</v>
      </c>
      <c r="S158" t="s">
        <v>358</v>
      </c>
      <c r="T158" t="s">
        <v>428</v>
      </c>
      <c r="U158" t="s">
        <v>370</v>
      </c>
      <c r="V158" t="s">
        <v>374</v>
      </c>
      <c r="W158" t="s">
        <v>309</v>
      </c>
      <c r="X158">
        <v>8217493115</v>
      </c>
      <c r="Y158">
        <v>26</v>
      </c>
      <c r="Z158" t="s">
        <v>299</v>
      </c>
      <c r="AA158" t="s">
        <v>429</v>
      </c>
      <c r="AB158" s="1">
        <v>45034</v>
      </c>
      <c r="AC158" s="3">
        <v>1654.53</v>
      </c>
      <c r="AD158" t="s">
        <v>317</v>
      </c>
      <c r="AE158" t="s">
        <v>376</v>
      </c>
    </row>
    <row r="159" spans="1:31" x14ac:dyDescent="0.3">
      <c r="A159" t="s">
        <v>222</v>
      </c>
      <c r="B159" t="s">
        <v>83</v>
      </c>
      <c r="C159" t="s">
        <v>28</v>
      </c>
      <c r="D159" s="1">
        <v>45119</v>
      </c>
      <c r="E159" s="2">
        <v>0.51041666666666663</v>
      </c>
      <c r="F159" t="s">
        <v>22</v>
      </c>
      <c r="G159" t="s">
        <v>34</v>
      </c>
      <c r="H159" t="s">
        <v>342</v>
      </c>
      <c r="I159" t="s">
        <v>354</v>
      </c>
      <c r="J159" s="3">
        <v>1438.3</v>
      </c>
      <c r="K159" s="1">
        <v>45119</v>
      </c>
      <c r="L159" t="s">
        <v>383</v>
      </c>
      <c r="M159" t="s">
        <v>432</v>
      </c>
      <c r="N159" t="s">
        <v>356</v>
      </c>
      <c r="O159" s="1">
        <v>34387</v>
      </c>
      <c r="P159">
        <v>6141951830</v>
      </c>
      <c r="Q159" t="s">
        <v>386</v>
      </c>
      <c r="R159">
        <v>44557</v>
      </c>
      <c r="S159" t="s">
        <v>348</v>
      </c>
      <c r="T159" t="s">
        <v>433</v>
      </c>
      <c r="U159" t="s">
        <v>383</v>
      </c>
      <c r="V159" t="s">
        <v>371</v>
      </c>
      <c r="W159" t="s">
        <v>309</v>
      </c>
      <c r="X159">
        <v>6176383634</v>
      </c>
      <c r="Y159">
        <v>21</v>
      </c>
      <c r="Z159" t="s">
        <v>298</v>
      </c>
      <c r="AA159" t="s">
        <v>434</v>
      </c>
      <c r="AB159" s="1">
        <v>45033</v>
      </c>
      <c r="AC159" s="3">
        <v>2976.02</v>
      </c>
      <c r="AD159" t="s">
        <v>317</v>
      </c>
      <c r="AE159" t="s">
        <v>376</v>
      </c>
    </row>
    <row r="160" spans="1:31" x14ac:dyDescent="0.3">
      <c r="A160" t="s">
        <v>223</v>
      </c>
      <c r="B160" t="s">
        <v>27</v>
      </c>
      <c r="C160" t="s">
        <v>18</v>
      </c>
      <c r="D160" s="1">
        <v>45024</v>
      </c>
      <c r="E160" s="2">
        <v>0.67708333333333337</v>
      </c>
      <c r="F160" t="s">
        <v>19</v>
      </c>
      <c r="G160" t="s">
        <v>8</v>
      </c>
      <c r="H160" t="s">
        <v>342</v>
      </c>
      <c r="I160" t="s">
        <v>354</v>
      </c>
      <c r="J160" s="3">
        <v>4687.68</v>
      </c>
      <c r="K160" s="1">
        <v>45024</v>
      </c>
      <c r="L160" t="s">
        <v>390</v>
      </c>
      <c r="M160" t="s">
        <v>391</v>
      </c>
      <c r="N160" t="s">
        <v>356</v>
      </c>
      <c r="O160" s="1">
        <v>36729</v>
      </c>
      <c r="P160">
        <v>7223380592</v>
      </c>
      <c r="Q160" t="s">
        <v>386</v>
      </c>
      <c r="R160">
        <v>44400</v>
      </c>
      <c r="S160" t="s">
        <v>367</v>
      </c>
      <c r="T160" t="s">
        <v>392</v>
      </c>
      <c r="U160" t="s">
        <v>381</v>
      </c>
      <c r="V160" t="s">
        <v>345</v>
      </c>
      <c r="W160" t="s">
        <v>310</v>
      </c>
      <c r="X160">
        <v>8737740598</v>
      </c>
      <c r="Y160">
        <v>19</v>
      </c>
      <c r="Z160" t="s">
        <v>298</v>
      </c>
      <c r="AA160" t="s">
        <v>393</v>
      </c>
      <c r="AB160" s="1">
        <v>45070</v>
      </c>
      <c r="AC160" s="3">
        <v>3413.64</v>
      </c>
      <c r="AD160" t="s">
        <v>311</v>
      </c>
      <c r="AE160" t="s">
        <v>376</v>
      </c>
    </row>
    <row r="161" spans="1:31" x14ac:dyDescent="0.3">
      <c r="A161" t="s">
        <v>224</v>
      </c>
      <c r="B161" t="s">
        <v>30</v>
      </c>
      <c r="C161" t="s">
        <v>52</v>
      </c>
      <c r="D161" s="1">
        <v>45277</v>
      </c>
      <c r="E161" s="2">
        <v>0.53125</v>
      </c>
      <c r="F161" t="s">
        <v>19</v>
      </c>
      <c r="G161" t="s">
        <v>12</v>
      </c>
      <c r="H161" t="s">
        <v>342</v>
      </c>
      <c r="I161" t="s">
        <v>343</v>
      </c>
      <c r="J161" s="3">
        <v>1023.65</v>
      </c>
      <c r="K161" s="1">
        <v>45277</v>
      </c>
      <c r="L161" t="s">
        <v>381</v>
      </c>
      <c r="M161" t="s">
        <v>371</v>
      </c>
      <c r="N161" t="s">
        <v>346</v>
      </c>
      <c r="O161" s="1">
        <v>18609</v>
      </c>
      <c r="P161">
        <v>9271131338</v>
      </c>
      <c r="Q161" t="s">
        <v>386</v>
      </c>
      <c r="R161">
        <v>44264</v>
      </c>
      <c r="S161" t="s">
        <v>367</v>
      </c>
      <c r="T161" t="s">
        <v>394</v>
      </c>
      <c r="U161" t="s">
        <v>360</v>
      </c>
      <c r="V161" t="s">
        <v>391</v>
      </c>
      <c r="W161" t="s">
        <v>308</v>
      </c>
      <c r="X161">
        <v>8322010158</v>
      </c>
      <c r="Y161">
        <v>17</v>
      </c>
      <c r="Z161" t="s">
        <v>299</v>
      </c>
      <c r="AA161" t="s">
        <v>395</v>
      </c>
      <c r="AB161" s="1">
        <v>44990</v>
      </c>
      <c r="AC161" s="3">
        <v>4541.1400000000003</v>
      </c>
      <c r="AD161" t="s">
        <v>316</v>
      </c>
      <c r="AE161" t="s">
        <v>363</v>
      </c>
    </row>
    <row r="162" spans="1:31" x14ac:dyDescent="0.3">
      <c r="A162" t="s">
        <v>225</v>
      </c>
      <c r="B162" t="s">
        <v>21</v>
      </c>
      <c r="C162" t="s">
        <v>67</v>
      </c>
      <c r="D162" s="1">
        <v>45094</v>
      </c>
      <c r="E162" s="2">
        <v>0.44791666666666669</v>
      </c>
      <c r="F162" t="s">
        <v>11</v>
      </c>
      <c r="G162" t="s">
        <v>4</v>
      </c>
      <c r="H162" t="s">
        <v>342</v>
      </c>
      <c r="I162" t="s">
        <v>364</v>
      </c>
      <c r="J162" s="3">
        <v>4178.5200000000004</v>
      </c>
      <c r="K162" s="1">
        <v>45094</v>
      </c>
      <c r="L162" t="s">
        <v>383</v>
      </c>
      <c r="M162" t="s">
        <v>366</v>
      </c>
      <c r="N162" t="s">
        <v>346</v>
      </c>
      <c r="O162" s="1">
        <v>24222</v>
      </c>
      <c r="P162">
        <v>7579616535</v>
      </c>
      <c r="Q162" t="s">
        <v>347</v>
      </c>
      <c r="R162">
        <v>44219</v>
      </c>
      <c r="S162" t="s">
        <v>358</v>
      </c>
      <c r="T162" t="s">
        <v>384</v>
      </c>
      <c r="U162" t="s">
        <v>350</v>
      </c>
      <c r="V162" t="s">
        <v>391</v>
      </c>
      <c r="W162" t="s">
        <v>308</v>
      </c>
      <c r="X162">
        <v>9118538547</v>
      </c>
      <c r="Y162">
        <v>26</v>
      </c>
      <c r="Z162" t="s">
        <v>297</v>
      </c>
      <c r="AA162" t="s">
        <v>385</v>
      </c>
      <c r="AB162" s="1">
        <v>45096</v>
      </c>
      <c r="AC162" s="3">
        <v>1381</v>
      </c>
      <c r="AD162" t="s">
        <v>317</v>
      </c>
      <c r="AE162" t="s">
        <v>352</v>
      </c>
    </row>
    <row r="163" spans="1:31" x14ac:dyDescent="0.3">
      <c r="A163" t="s">
        <v>226</v>
      </c>
      <c r="B163" t="s">
        <v>227</v>
      </c>
      <c r="C163" t="s">
        <v>7</v>
      </c>
      <c r="D163" s="1">
        <v>44927</v>
      </c>
      <c r="E163" s="2">
        <v>0.71875</v>
      </c>
      <c r="F163" t="s">
        <v>19</v>
      </c>
      <c r="G163" t="s">
        <v>8</v>
      </c>
      <c r="H163" t="s">
        <v>342</v>
      </c>
      <c r="I163" t="s">
        <v>364</v>
      </c>
      <c r="J163" s="3">
        <v>2212.8000000000002</v>
      </c>
      <c r="K163" s="1">
        <v>44927</v>
      </c>
      <c r="L163" t="s">
        <v>381</v>
      </c>
      <c r="M163" t="s">
        <v>345</v>
      </c>
      <c r="N163" t="s">
        <v>346</v>
      </c>
      <c r="O163" s="1">
        <v>19958</v>
      </c>
      <c r="P163">
        <v>7040069008</v>
      </c>
      <c r="Q163" t="s">
        <v>386</v>
      </c>
      <c r="R163">
        <v>44635</v>
      </c>
      <c r="S163" t="s">
        <v>358</v>
      </c>
      <c r="T163" t="s">
        <v>475</v>
      </c>
      <c r="U163" t="s">
        <v>360</v>
      </c>
      <c r="V163" t="s">
        <v>361</v>
      </c>
      <c r="W163" t="s">
        <v>310</v>
      </c>
      <c r="X163">
        <v>6594221991</v>
      </c>
      <c r="Y163">
        <v>28</v>
      </c>
      <c r="Z163" t="s">
        <v>297</v>
      </c>
      <c r="AA163" t="s">
        <v>476</v>
      </c>
      <c r="AB163" s="1">
        <v>44927</v>
      </c>
      <c r="AC163" s="3">
        <v>2212.8000000000002</v>
      </c>
      <c r="AD163" t="s">
        <v>311</v>
      </c>
      <c r="AE163" t="s">
        <v>363</v>
      </c>
    </row>
    <row r="164" spans="1:31" x14ac:dyDescent="0.3">
      <c r="A164" t="s">
        <v>228</v>
      </c>
      <c r="B164" t="s">
        <v>30</v>
      </c>
      <c r="C164" t="s">
        <v>28</v>
      </c>
      <c r="D164" s="1">
        <v>45104</v>
      </c>
      <c r="E164" s="2">
        <v>0.625</v>
      </c>
      <c r="F164" t="s">
        <v>3</v>
      </c>
      <c r="G164" t="s">
        <v>8</v>
      </c>
      <c r="H164" t="s">
        <v>413</v>
      </c>
      <c r="I164" t="s">
        <v>343</v>
      </c>
      <c r="J164" s="3">
        <v>4450.88</v>
      </c>
      <c r="K164" s="1">
        <v>45104</v>
      </c>
      <c r="L164" t="s">
        <v>381</v>
      </c>
      <c r="M164" t="s">
        <v>371</v>
      </c>
      <c r="N164" t="s">
        <v>346</v>
      </c>
      <c r="O164" s="1">
        <v>18609</v>
      </c>
      <c r="P164">
        <v>9271131338</v>
      </c>
      <c r="Q164" t="s">
        <v>386</v>
      </c>
      <c r="R164">
        <v>44264</v>
      </c>
      <c r="S164" t="s">
        <v>367</v>
      </c>
      <c r="T164" t="s">
        <v>394</v>
      </c>
      <c r="U164" t="s">
        <v>383</v>
      </c>
      <c r="V164" t="s">
        <v>371</v>
      </c>
      <c r="W164" t="s">
        <v>309</v>
      </c>
      <c r="X164">
        <v>6176383634</v>
      </c>
      <c r="Y164">
        <v>21</v>
      </c>
      <c r="Z164" t="s">
        <v>298</v>
      </c>
      <c r="AA164" t="s">
        <v>395</v>
      </c>
      <c r="AB164" s="1">
        <v>44990</v>
      </c>
      <c r="AC164" s="3">
        <v>4541.1400000000003</v>
      </c>
      <c r="AD164" t="s">
        <v>316</v>
      </c>
      <c r="AE164" t="s">
        <v>363</v>
      </c>
    </row>
    <row r="165" spans="1:31" x14ac:dyDescent="0.3">
      <c r="A165" t="s">
        <v>229</v>
      </c>
      <c r="B165" t="s">
        <v>54</v>
      </c>
      <c r="C165" t="s">
        <v>47</v>
      </c>
      <c r="D165" s="1">
        <v>45135</v>
      </c>
      <c r="E165" s="2">
        <v>0.71875</v>
      </c>
      <c r="F165" t="s">
        <v>3</v>
      </c>
      <c r="G165" t="s">
        <v>12</v>
      </c>
      <c r="H165" t="s">
        <v>377</v>
      </c>
      <c r="I165" t="s">
        <v>364</v>
      </c>
      <c r="J165" s="3">
        <v>4406.26</v>
      </c>
      <c r="K165" s="1">
        <v>45135</v>
      </c>
      <c r="L165" t="s">
        <v>344</v>
      </c>
      <c r="M165" t="s">
        <v>391</v>
      </c>
      <c r="N165" t="s">
        <v>356</v>
      </c>
      <c r="O165" s="1">
        <v>24895</v>
      </c>
      <c r="P165">
        <v>7292262512</v>
      </c>
      <c r="Q165" t="s">
        <v>386</v>
      </c>
      <c r="R165">
        <v>45272</v>
      </c>
      <c r="S165" t="s">
        <v>358</v>
      </c>
      <c r="T165" t="s">
        <v>414</v>
      </c>
      <c r="U165" t="s">
        <v>383</v>
      </c>
      <c r="V165" t="s">
        <v>399</v>
      </c>
      <c r="W165" t="s">
        <v>308</v>
      </c>
      <c r="X165">
        <v>9069162601</v>
      </c>
      <c r="Y165">
        <v>5</v>
      </c>
      <c r="Z165" t="s">
        <v>299</v>
      </c>
      <c r="AA165" t="s">
        <v>415</v>
      </c>
      <c r="AB165" s="1">
        <v>45265</v>
      </c>
      <c r="AC165" s="3">
        <v>4113.62</v>
      </c>
      <c r="AD165" t="s">
        <v>316</v>
      </c>
      <c r="AE165" t="s">
        <v>376</v>
      </c>
    </row>
    <row r="166" spans="1:31" x14ac:dyDescent="0.3">
      <c r="A166" t="s">
        <v>230</v>
      </c>
      <c r="B166" t="s">
        <v>90</v>
      </c>
      <c r="C166" t="s">
        <v>52</v>
      </c>
      <c r="D166" s="1">
        <v>45020</v>
      </c>
      <c r="E166" s="2">
        <v>0.64583333333333337</v>
      </c>
      <c r="F166" t="s">
        <v>11</v>
      </c>
      <c r="G166" t="s">
        <v>12</v>
      </c>
      <c r="H166" t="s">
        <v>353</v>
      </c>
      <c r="I166" t="s">
        <v>354</v>
      </c>
      <c r="J166" s="3">
        <v>4126.66</v>
      </c>
      <c r="K166" s="1">
        <v>45020</v>
      </c>
      <c r="L166" t="s">
        <v>370</v>
      </c>
      <c r="M166" t="s">
        <v>366</v>
      </c>
      <c r="N166" t="s">
        <v>356</v>
      </c>
      <c r="O166" s="1">
        <v>31791</v>
      </c>
      <c r="P166">
        <v>8280346676</v>
      </c>
      <c r="Q166" t="s">
        <v>347</v>
      </c>
      <c r="R166">
        <v>44740</v>
      </c>
      <c r="S166" t="s">
        <v>348</v>
      </c>
      <c r="T166" t="s">
        <v>437</v>
      </c>
      <c r="U166" t="s">
        <v>360</v>
      </c>
      <c r="V166" t="s">
        <v>391</v>
      </c>
      <c r="W166" t="s">
        <v>308</v>
      </c>
      <c r="X166">
        <v>8322010158</v>
      </c>
      <c r="Y166">
        <v>17</v>
      </c>
      <c r="Z166" t="s">
        <v>299</v>
      </c>
      <c r="AA166" t="s">
        <v>438</v>
      </c>
      <c r="AB166" s="1">
        <v>45189</v>
      </c>
      <c r="AC166" s="3">
        <v>4186.3500000000004</v>
      </c>
      <c r="AD166" t="s">
        <v>317</v>
      </c>
      <c r="AE166" t="s">
        <v>363</v>
      </c>
    </row>
    <row r="167" spans="1:31" x14ac:dyDescent="0.3">
      <c r="A167" t="s">
        <v>231</v>
      </c>
      <c r="B167" t="s">
        <v>33</v>
      </c>
      <c r="C167" t="s">
        <v>28</v>
      </c>
      <c r="D167" s="1">
        <v>44938</v>
      </c>
      <c r="E167" s="2">
        <v>0.61458333333333337</v>
      </c>
      <c r="F167" t="s">
        <v>3</v>
      </c>
      <c r="G167" t="s">
        <v>8</v>
      </c>
      <c r="H167" t="s">
        <v>377</v>
      </c>
      <c r="I167" t="s">
        <v>343</v>
      </c>
      <c r="J167" s="3">
        <v>4055.14</v>
      </c>
      <c r="K167" s="1">
        <v>44938</v>
      </c>
      <c r="L167" t="s">
        <v>360</v>
      </c>
      <c r="M167" t="s">
        <v>371</v>
      </c>
      <c r="N167" t="s">
        <v>356</v>
      </c>
      <c r="O167" s="1">
        <v>22090</v>
      </c>
      <c r="P167">
        <v>7734463155</v>
      </c>
      <c r="Q167" t="s">
        <v>357</v>
      </c>
      <c r="R167">
        <v>44468</v>
      </c>
      <c r="S167" t="s">
        <v>358</v>
      </c>
      <c r="T167" t="s">
        <v>396</v>
      </c>
      <c r="U167" t="s">
        <v>383</v>
      </c>
      <c r="V167" t="s">
        <v>371</v>
      </c>
      <c r="W167" t="s">
        <v>309</v>
      </c>
      <c r="X167">
        <v>6176383634</v>
      </c>
      <c r="Y167">
        <v>21</v>
      </c>
      <c r="Z167" t="s">
        <v>298</v>
      </c>
      <c r="AA167" t="s">
        <v>397</v>
      </c>
      <c r="AB167" s="1">
        <v>44939</v>
      </c>
      <c r="AC167" s="3">
        <v>1595.67</v>
      </c>
      <c r="AD167" t="s">
        <v>311</v>
      </c>
      <c r="AE167" t="s">
        <v>363</v>
      </c>
    </row>
    <row r="168" spans="1:31" x14ac:dyDescent="0.3">
      <c r="A168" t="s">
        <v>232</v>
      </c>
      <c r="B168" t="s">
        <v>118</v>
      </c>
      <c r="C168" t="s">
        <v>52</v>
      </c>
      <c r="D168" s="1">
        <v>45245</v>
      </c>
      <c r="E168" s="2">
        <v>0.34375</v>
      </c>
      <c r="F168" t="s">
        <v>31</v>
      </c>
      <c r="G168" t="s">
        <v>4</v>
      </c>
      <c r="H168" t="s">
        <v>342</v>
      </c>
      <c r="I168" t="s">
        <v>343</v>
      </c>
      <c r="J168" s="3">
        <v>1871.06</v>
      </c>
      <c r="K168" s="1">
        <v>45245</v>
      </c>
      <c r="L168" t="s">
        <v>360</v>
      </c>
      <c r="M168" t="s">
        <v>371</v>
      </c>
      <c r="N168" t="s">
        <v>346</v>
      </c>
      <c r="O168" s="1">
        <v>34072</v>
      </c>
      <c r="P168">
        <v>7039619487</v>
      </c>
      <c r="Q168" t="s">
        <v>357</v>
      </c>
      <c r="R168">
        <v>45116</v>
      </c>
      <c r="S168" t="s">
        <v>358</v>
      </c>
      <c r="T168" t="s">
        <v>453</v>
      </c>
      <c r="U168" t="s">
        <v>360</v>
      </c>
      <c r="V168" t="s">
        <v>391</v>
      </c>
      <c r="W168" t="s">
        <v>308</v>
      </c>
      <c r="X168">
        <v>8322010158</v>
      </c>
      <c r="Y168">
        <v>17</v>
      </c>
      <c r="Z168" t="s">
        <v>299</v>
      </c>
      <c r="AA168" t="s">
        <v>454</v>
      </c>
      <c r="AB168" s="1">
        <v>45077</v>
      </c>
      <c r="AC168" s="3">
        <v>3815.93</v>
      </c>
      <c r="AD168" t="s">
        <v>311</v>
      </c>
      <c r="AE168" t="s">
        <v>363</v>
      </c>
    </row>
    <row r="169" spans="1:31" x14ac:dyDescent="0.3">
      <c r="A169" t="s">
        <v>233</v>
      </c>
      <c r="B169" t="s">
        <v>83</v>
      </c>
      <c r="C169" t="s">
        <v>7</v>
      </c>
      <c r="D169" s="1">
        <v>45198</v>
      </c>
      <c r="E169" s="2">
        <v>0.41666666666666669</v>
      </c>
      <c r="F169" t="s">
        <v>11</v>
      </c>
      <c r="G169" t="s">
        <v>8</v>
      </c>
      <c r="H169" t="s">
        <v>413</v>
      </c>
      <c r="I169" t="s">
        <v>364</v>
      </c>
      <c r="J169" s="3">
        <v>864.14</v>
      </c>
      <c r="K169" s="1">
        <v>45198</v>
      </c>
      <c r="L169" t="s">
        <v>383</v>
      </c>
      <c r="M169" t="s">
        <v>432</v>
      </c>
      <c r="N169" t="s">
        <v>356</v>
      </c>
      <c r="O169" s="1">
        <v>34387</v>
      </c>
      <c r="P169">
        <v>6141951830</v>
      </c>
      <c r="Q169" t="s">
        <v>386</v>
      </c>
      <c r="R169">
        <v>44557</v>
      </c>
      <c r="S169" t="s">
        <v>348</v>
      </c>
      <c r="T169" t="s">
        <v>433</v>
      </c>
      <c r="U169" t="s">
        <v>360</v>
      </c>
      <c r="V169" t="s">
        <v>361</v>
      </c>
      <c r="W169" t="s">
        <v>310</v>
      </c>
      <c r="X169">
        <v>6594221991</v>
      </c>
      <c r="Y169">
        <v>28</v>
      </c>
      <c r="Z169" t="s">
        <v>297</v>
      </c>
      <c r="AA169" t="s">
        <v>434</v>
      </c>
      <c r="AB169" s="1">
        <v>45033</v>
      </c>
      <c r="AC169" s="3">
        <v>2976.02</v>
      </c>
      <c r="AD169" t="s">
        <v>317</v>
      </c>
      <c r="AE169" t="s">
        <v>376</v>
      </c>
    </row>
    <row r="170" spans="1:31" x14ac:dyDescent="0.3">
      <c r="A170" t="s">
        <v>234</v>
      </c>
      <c r="B170" t="s">
        <v>38</v>
      </c>
      <c r="C170" t="s">
        <v>47</v>
      </c>
      <c r="D170" s="1">
        <v>45131</v>
      </c>
      <c r="E170" s="2">
        <v>0.69791666666666663</v>
      </c>
      <c r="F170" t="s">
        <v>31</v>
      </c>
      <c r="G170" t="s">
        <v>12</v>
      </c>
      <c r="H170" t="s">
        <v>389</v>
      </c>
      <c r="I170" t="s">
        <v>343</v>
      </c>
      <c r="J170" s="3">
        <v>2313.41</v>
      </c>
      <c r="K170" s="1">
        <v>45131</v>
      </c>
      <c r="L170" t="s">
        <v>360</v>
      </c>
      <c r="M170" t="s">
        <v>345</v>
      </c>
      <c r="N170" t="s">
        <v>356</v>
      </c>
      <c r="O170" s="1">
        <v>38487</v>
      </c>
      <c r="P170">
        <v>8923607677</v>
      </c>
      <c r="Q170" t="s">
        <v>386</v>
      </c>
      <c r="R170">
        <v>45035</v>
      </c>
      <c r="S170" t="s">
        <v>372</v>
      </c>
      <c r="T170" t="s">
        <v>402</v>
      </c>
      <c r="U170" t="s">
        <v>383</v>
      </c>
      <c r="V170" t="s">
        <v>399</v>
      </c>
      <c r="W170" t="s">
        <v>308</v>
      </c>
      <c r="X170">
        <v>9069162601</v>
      </c>
      <c r="Y170">
        <v>5</v>
      </c>
      <c r="Z170" t="s">
        <v>299</v>
      </c>
      <c r="AA170" t="s">
        <v>403</v>
      </c>
      <c r="AB170" s="1">
        <v>45053</v>
      </c>
      <c r="AC170" s="3">
        <v>771.2</v>
      </c>
      <c r="AD170" t="s">
        <v>317</v>
      </c>
      <c r="AE170" t="s">
        <v>352</v>
      </c>
    </row>
    <row r="171" spans="1:31" x14ac:dyDescent="0.3">
      <c r="A171" t="s">
        <v>235</v>
      </c>
      <c r="B171" t="s">
        <v>122</v>
      </c>
      <c r="C171" t="s">
        <v>67</v>
      </c>
      <c r="D171" s="1">
        <v>44988</v>
      </c>
      <c r="E171" s="2">
        <v>0.375</v>
      </c>
      <c r="F171" t="s">
        <v>22</v>
      </c>
      <c r="G171" t="s">
        <v>4</v>
      </c>
      <c r="H171" t="s">
        <v>413</v>
      </c>
      <c r="I171" t="s">
        <v>364</v>
      </c>
      <c r="J171" s="3">
        <v>1280.8599999999999</v>
      </c>
      <c r="K171" s="1">
        <v>44988</v>
      </c>
      <c r="L171" t="s">
        <v>383</v>
      </c>
      <c r="M171" t="s">
        <v>399</v>
      </c>
      <c r="N171" t="s">
        <v>356</v>
      </c>
      <c r="O171" s="1">
        <v>29305</v>
      </c>
      <c r="P171">
        <v>9127665406</v>
      </c>
      <c r="Q171" t="s">
        <v>386</v>
      </c>
      <c r="R171">
        <v>44760</v>
      </c>
      <c r="S171" t="s">
        <v>348</v>
      </c>
      <c r="T171" t="s">
        <v>455</v>
      </c>
      <c r="U171" t="s">
        <v>350</v>
      </c>
      <c r="V171" t="s">
        <v>391</v>
      </c>
      <c r="W171" t="s">
        <v>308</v>
      </c>
      <c r="X171">
        <v>9118538547</v>
      </c>
      <c r="Y171">
        <v>26</v>
      </c>
      <c r="Z171" t="s">
        <v>297</v>
      </c>
      <c r="AA171" t="s">
        <v>456</v>
      </c>
      <c r="AB171" s="1">
        <v>45148</v>
      </c>
      <c r="AC171" s="3">
        <v>930.72</v>
      </c>
      <c r="AD171" t="s">
        <v>316</v>
      </c>
      <c r="AE171" t="s">
        <v>352</v>
      </c>
    </row>
    <row r="172" spans="1:31" x14ac:dyDescent="0.3">
      <c r="A172" t="s">
        <v>236</v>
      </c>
      <c r="B172" t="s">
        <v>161</v>
      </c>
      <c r="C172" t="s">
        <v>41</v>
      </c>
      <c r="D172" s="1">
        <v>45034</v>
      </c>
      <c r="E172" s="2">
        <v>0.6875</v>
      </c>
      <c r="F172" t="s">
        <v>31</v>
      </c>
      <c r="G172" t="s">
        <v>12</v>
      </c>
      <c r="H172" t="s">
        <v>342</v>
      </c>
      <c r="I172" t="s">
        <v>364</v>
      </c>
      <c r="J172" s="3">
        <v>3627.28</v>
      </c>
      <c r="K172" s="1">
        <v>45034</v>
      </c>
      <c r="L172" t="s">
        <v>365</v>
      </c>
      <c r="M172" t="s">
        <v>361</v>
      </c>
      <c r="N172" t="s">
        <v>346</v>
      </c>
      <c r="O172" s="1">
        <v>24445</v>
      </c>
      <c r="P172">
        <v>8990604070</v>
      </c>
      <c r="Q172" t="s">
        <v>386</v>
      </c>
      <c r="R172">
        <v>44831</v>
      </c>
      <c r="S172" t="s">
        <v>358</v>
      </c>
      <c r="T172" t="s">
        <v>469</v>
      </c>
      <c r="U172" t="s">
        <v>381</v>
      </c>
      <c r="V172" t="s">
        <v>374</v>
      </c>
      <c r="W172" t="s">
        <v>310</v>
      </c>
      <c r="X172">
        <v>9004382050</v>
      </c>
      <c r="Y172">
        <v>24</v>
      </c>
      <c r="Z172" t="s">
        <v>298</v>
      </c>
      <c r="AA172" t="s">
        <v>470</v>
      </c>
      <c r="AB172" s="1">
        <v>45111</v>
      </c>
      <c r="AC172" s="3">
        <v>4101.6000000000004</v>
      </c>
      <c r="AD172" t="s">
        <v>316</v>
      </c>
      <c r="AE172" t="s">
        <v>352</v>
      </c>
    </row>
    <row r="173" spans="1:31" x14ac:dyDescent="0.3">
      <c r="A173" t="s">
        <v>237</v>
      </c>
      <c r="B173" t="s">
        <v>178</v>
      </c>
      <c r="C173" t="s">
        <v>15</v>
      </c>
      <c r="D173" s="1">
        <v>44994</v>
      </c>
      <c r="E173" s="2">
        <v>0.67708333333333337</v>
      </c>
      <c r="F173" t="s">
        <v>22</v>
      </c>
      <c r="G173" t="s">
        <v>4</v>
      </c>
      <c r="H173" t="s">
        <v>413</v>
      </c>
      <c r="I173" t="s">
        <v>364</v>
      </c>
      <c r="J173" s="3">
        <v>2057.4499999999998</v>
      </c>
      <c r="K173" s="1">
        <v>44994</v>
      </c>
      <c r="L173" t="s">
        <v>404</v>
      </c>
      <c r="M173" t="s">
        <v>371</v>
      </c>
      <c r="N173" t="s">
        <v>356</v>
      </c>
      <c r="O173" s="1">
        <v>29122</v>
      </c>
      <c r="P173">
        <v>7145815738</v>
      </c>
      <c r="Q173" t="s">
        <v>386</v>
      </c>
      <c r="R173">
        <v>44827</v>
      </c>
      <c r="S173" t="s">
        <v>367</v>
      </c>
      <c r="T173" t="s">
        <v>473</v>
      </c>
      <c r="U173" t="s">
        <v>344</v>
      </c>
      <c r="V173" t="s">
        <v>374</v>
      </c>
      <c r="W173" t="s">
        <v>310</v>
      </c>
      <c r="X173">
        <v>6570137231</v>
      </c>
      <c r="Y173">
        <v>23</v>
      </c>
      <c r="Z173" t="s">
        <v>297</v>
      </c>
      <c r="AA173" t="s">
        <v>474</v>
      </c>
      <c r="AB173" s="1">
        <v>45146</v>
      </c>
      <c r="AC173" s="3">
        <v>3030.34</v>
      </c>
      <c r="AD173" t="s">
        <v>311</v>
      </c>
      <c r="AE173" t="s">
        <v>352</v>
      </c>
    </row>
    <row r="174" spans="1:31" x14ac:dyDescent="0.3">
      <c r="A174" t="s">
        <v>238</v>
      </c>
      <c r="B174" t="s">
        <v>59</v>
      </c>
      <c r="C174" t="s">
        <v>67</v>
      </c>
      <c r="D174" s="1">
        <v>45081</v>
      </c>
      <c r="E174" s="2">
        <v>0.5625</v>
      </c>
      <c r="F174" t="s">
        <v>22</v>
      </c>
      <c r="G174" t="s">
        <v>34</v>
      </c>
      <c r="H174" t="s">
        <v>413</v>
      </c>
      <c r="I174" t="s">
        <v>364</v>
      </c>
      <c r="J174" s="3">
        <v>4890.25</v>
      </c>
      <c r="K174" s="1">
        <v>45081</v>
      </c>
      <c r="L174" t="s">
        <v>381</v>
      </c>
      <c r="M174" t="s">
        <v>355</v>
      </c>
      <c r="N174" t="s">
        <v>356</v>
      </c>
      <c r="O174" s="1">
        <v>35046</v>
      </c>
      <c r="P174">
        <v>8715732851</v>
      </c>
      <c r="Q174" t="s">
        <v>347</v>
      </c>
      <c r="R174">
        <v>44701</v>
      </c>
      <c r="S174" t="s">
        <v>348</v>
      </c>
      <c r="T174" t="s">
        <v>418</v>
      </c>
      <c r="U174" t="s">
        <v>350</v>
      </c>
      <c r="V174" t="s">
        <v>391</v>
      </c>
      <c r="W174" t="s">
        <v>308</v>
      </c>
      <c r="X174">
        <v>9118538547</v>
      </c>
      <c r="Y174">
        <v>26</v>
      </c>
      <c r="Z174" t="s">
        <v>297</v>
      </c>
      <c r="AA174" t="s">
        <v>419</v>
      </c>
      <c r="AB174" s="1">
        <v>45055</v>
      </c>
      <c r="AC174" s="3">
        <v>3246.5</v>
      </c>
      <c r="AD174" t="s">
        <v>316</v>
      </c>
      <c r="AE174" t="s">
        <v>352</v>
      </c>
    </row>
    <row r="175" spans="1:31" x14ac:dyDescent="0.3">
      <c r="A175" t="s">
        <v>239</v>
      </c>
      <c r="B175" t="s">
        <v>43</v>
      </c>
      <c r="C175" t="s">
        <v>41</v>
      </c>
      <c r="D175" s="1">
        <v>45230</v>
      </c>
      <c r="E175" s="2">
        <v>0.46875</v>
      </c>
      <c r="F175" t="s">
        <v>31</v>
      </c>
      <c r="G175" t="s">
        <v>12</v>
      </c>
      <c r="H175" t="s">
        <v>342</v>
      </c>
      <c r="I175" t="s">
        <v>364</v>
      </c>
      <c r="J175" s="3">
        <v>3384.37</v>
      </c>
      <c r="K175" s="1">
        <v>45230</v>
      </c>
      <c r="L175" t="s">
        <v>404</v>
      </c>
      <c r="M175" t="s">
        <v>374</v>
      </c>
      <c r="N175" t="s">
        <v>346</v>
      </c>
      <c r="O175" s="1">
        <v>33580</v>
      </c>
      <c r="P175">
        <v>8135666049</v>
      </c>
      <c r="Q175" t="s">
        <v>347</v>
      </c>
      <c r="R175">
        <v>45043</v>
      </c>
      <c r="S175" t="s">
        <v>358</v>
      </c>
      <c r="T175" t="s">
        <v>407</v>
      </c>
      <c r="U175" t="s">
        <v>381</v>
      </c>
      <c r="V175" t="s">
        <v>374</v>
      </c>
      <c r="W175" t="s">
        <v>310</v>
      </c>
      <c r="X175">
        <v>9004382050</v>
      </c>
      <c r="Y175">
        <v>24</v>
      </c>
      <c r="Z175" t="s">
        <v>298</v>
      </c>
      <c r="AA175" t="s">
        <v>408</v>
      </c>
      <c r="AB175" s="1">
        <v>45071</v>
      </c>
      <c r="AC175" s="3">
        <v>2082.3000000000002</v>
      </c>
      <c r="AD175" t="s">
        <v>316</v>
      </c>
      <c r="AE175" t="s">
        <v>363</v>
      </c>
    </row>
    <row r="176" spans="1:31" x14ac:dyDescent="0.3">
      <c r="A176" t="s">
        <v>240</v>
      </c>
      <c r="B176" t="s">
        <v>170</v>
      </c>
      <c r="C176" t="s">
        <v>18</v>
      </c>
      <c r="D176" s="1">
        <v>45221</v>
      </c>
      <c r="E176" s="2">
        <v>0.70833333333333337</v>
      </c>
      <c r="F176" t="s">
        <v>11</v>
      </c>
      <c r="G176" t="s">
        <v>12</v>
      </c>
      <c r="H176" t="s">
        <v>413</v>
      </c>
      <c r="I176" t="s">
        <v>343</v>
      </c>
      <c r="J176" s="3">
        <v>4201.16</v>
      </c>
      <c r="K176" s="1">
        <v>45221</v>
      </c>
      <c r="L176" t="s">
        <v>404</v>
      </c>
      <c r="M176" t="s">
        <v>374</v>
      </c>
      <c r="N176" t="s">
        <v>356</v>
      </c>
      <c r="O176" s="1">
        <v>26278</v>
      </c>
      <c r="P176">
        <v>7060324619</v>
      </c>
      <c r="Q176" t="s">
        <v>347</v>
      </c>
      <c r="R176">
        <v>44822</v>
      </c>
      <c r="S176" t="s">
        <v>367</v>
      </c>
      <c r="T176" t="s">
        <v>471</v>
      </c>
      <c r="U176" t="s">
        <v>381</v>
      </c>
      <c r="V176" t="s">
        <v>345</v>
      </c>
      <c r="W176" t="s">
        <v>310</v>
      </c>
      <c r="X176">
        <v>8737740598</v>
      </c>
      <c r="Y176">
        <v>19</v>
      </c>
      <c r="Z176" t="s">
        <v>298</v>
      </c>
      <c r="AA176" t="s">
        <v>472</v>
      </c>
      <c r="AB176" s="1">
        <v>45033</v>
      </c>
      <c r="AC176" s="3">
        <v>3512.69</v>
      </c>
      <c r="AD176" t="s">
        <v>316</v>
      </c>
      <c r="AE176" t="s">
        <v>352</v>
      </c>
    </row>
    <row r="177" spans="1:31" x14ac:dyDescent="0.3">
      <c r="A177" t="s">
        <v>241</v>
      </c>
      <c r="B177" t="s">
        <v>85</v>
      </c>
      <c r="C177" t="s">
        <v>2</v>
      </c>
      <c r="D177" s="1">
        <v>45042</v>
      </c>
      <c r="E177" s="2">
        <v>0.39583333333333331</v>
      </c>
      <c r="F177" t="s">
        <v>3</v>
      </c>
      <c r="G177" t="s">
        <v>8</v>
      </c>
      <c r="H177" t="s">
        <v>353</v>
      </c>
      <c r="I177" t="s">
        <v>354</v>
      </c>
      <c r="J177" s="3">
        <v>1096.3599999999999</v>
      </c>
      <c r="K177" s="1">
        <v>45042</v>
      </c>
      <c r="L177" t="s">
        <v>390</v>
      </c>
      <c r="M177" t="s">
        <v>391</v>
      </c>
      <c r="N177" t="s">
        <v>356</v>
      </c>
      <c r="O177" s="1">
        <v>37177</v>
      </c>
      <c r="P177">
        <v>7081396733</v>
      </c>
      <c r="Q177" t="s">
        <v>357</v>
      </c>
      <c r="R177">
        <v>44797</v>
      </c>
      <c r="S177" t="s">
        <v>348</v>
      </c>
      <c r="T177" t="s">
        <v>435</v>
      </c>
      <c r="U177" t="s">
        <v>350</v>
      </c>
      <c r="V177" t="s">
        <v>345</v>
      </c>
      <c r="W177" t="s">
        <v>310</v>
      </c>
      <c r="X177">
        <v>7387087517</v>
      </c>
      <c r="Y177">
        <v>26</v>
      </c>
      <c r="Z177" t="s">
        <v>297</v>
      </c>
      <c r="AA177" t="s">
        <v>436</v>
      </c>
      <c r="AB177" s="1">
        <v>45012</v>
      </c>
      <c r="AC177" s="3">
        <v>695.36</v>
      </c>
      <c r="AD177" t="s">
        <v>311</v>
      </c>
      <c r="AE177" t="s">
        <v>376</v>
      </c>
    </row>
    <row r="178" spans="1:31" x14ac:dyDescent="0.3">
      <c r="A178" t="s">
        <v>242</v>
      </c>
      <c r="B178" t="s">
        <v>132</v>
      </c>
      <c r="C178" t="s">
        <v>25</v>
      </c>
      <c r="D178" s="1">
        <v>45154</v>
      </c>
      <c r="E178" s="2">
        <v>0.52083333333333337</v>
      </c>
      <c r="F178" t="s">
        <v>3</v>
      </c>
      <c r="G178" t="s">
        <v>12</v>
      </c>
      <c r="H178" t="s">
        <v>353</v>
      </c>
      <c r="I178" t="s">
        <v>354</v>
      </c>
      <c r="J178" s="3">
        <v>4379.07</v>
      </c>
      <c r="K178" s="1">
        <v>45154</v>
      </c>
      <c r="L178" t="s">
        <v>370</v>
      </c>
      <c r="M178" t="s">
        <v>391</v>
      </c>
      <c r="N178" t="s">
        <v>346</v>
      </c>
      <c r="O178" s="1">
        <v>27830</v>
      </c>
      <c r="P178">
        <v>9449458981</v>
      </c>
      <c r="Q178" t="s">
        <v>347</v>
      </c>
      <c r="R178">
        <v>44952</v>
      </c>
      <c r="S178" t="s">
        <v>367</v>
      </c>
      <c r="T178" t="s">
        <v>457</v>
      </c>
      <c r="U178" t="s">
        <v>370</v>
      </c>
      <c r="V178" t="s">
        <v>374</v>
      </c>
      <c r="W178" t="s">
        <v>309</v>
      </c>
      <c r="X178">
        <v>8217493115</v>
      </c>
      <c r="Y178">
        <v>26</v>
      </c>
      <c r="Z178" t="s">
        <v>299</v>
      </c>
      <c r="AA178" t="s">
        <v>458</v>
      </c>
      <c r="AB178" s="1">
        <v>45257</v>
      </c>
      <c r="AC178" s="3">
        <v>4945.03</v>
      </c>
      <c r="AD178" t="s">
        <v>316</v>
      </c>
      <c r="AE178" t="s">
        <v>352</v>
      </c>
    </row>
    <row r="179" spans="1:31" x14ac:dyDescent="0.3">
      <c r="A179" t="s">
        <v>243</v>
      </c>
      <c r="B179" t="s">
        <v>144</v>
      </c>
      <c r="C179" t="s">
        <v>25</v>
      </c>
      <c r="D179" s="1">
        <v>44943</v>
      </c>
      <c r="E179" s="2">
        <v>0.55208333333333337</v>
      </c>
      <c r="F179" t="s">
        <v>22</v>
      </c>
      <c r="G179" t="s">
        <v>12</v>
      </c>
      <c r="H179" t="s">
        <v>413</v>
      </c>
      <c r="I179" t="s">
        <v>343</v>
      </c>
      <c r="J179" s="3">
        <v>4652.41</v>
      </c>
      <c r="K179" s="1">
        <v>44943</v>
      </c>
      <c r="L179" t="s">
        <v>381</v>
      </c>
      <c r="M179" t="s">
        <v>361</v>
      </c>
      <c r="N179" t="s">
        <v>356</v>
      </c>
      <c r="O179" s="1">
        <v>33359</v>
      </c>
      <c r="P179">
        <v>6158428240</v>
      </c>
      <c r="Q179" t="s">
        <v>379</v>
      </c>
      <c r="R179">
        <v>44830</v>
      </c>
      <c r="S179" t="s">
        <v>348</v>
      </c>
      <c r="T179" t="s">
        <v>461</v>
      </c>
      <c r="U179" t="s">
        <v>370</v>
      </c>
      <c r="V179" t="s">
        <v>374</v>
      </c>
      <c r="W179" t="s">
        <v>309</v>
      </c>
      <c r="X179">
        <v>8217493115</v>
      </c>
      <c r="Y179">
        <v>26</v>
      </c>
      <c r="Z179" t="s">
        <v>299</v>
      </c>
      <c r="AA179" t="s">
        <v>462</v>
      </c>
      <c r="AB179" s="1">
        <v>45228</v>
      </c>
      <c r="AC179" s="3">
        <v>3759.52</v>
      </c>
      <c r="AD179" t="s">
        <v>311</v>
      </c>
      <c r="AE179" t="s">
        <v>352</v>
      </c>
    </row>
    <row r="180" spans="1:31" x14ac:dyDescent="0.3">
      <c r="A180" t="s">
        <v>244</v>
      </c>
      <c r="B180" t="s">
        <v>245</v>
      </c>
      <c r="C180" t="s">
        <v>15</v>
      </c>
      <c r="D180" s="1">
        <v>44993</v>
      </c>
      <c r="E180" s="2">
        <v>0.51041666666666663</v>
      </c>
      <c r="F180" t="s">
        <v>22</v>
      </c>
      <c r="G180" t="s">
        <v>34</v>
      </c>
      <c r="H180" t="s">
        <v>389</v>
      </c>
      <c r="I180" t="s">
        <v>343</v>
      </c>
      <c r="J180" s="3">
        <v>2691.78</v>
      </c>
      <c r="K180" s="1">
        <v>44993</v>
      </c>
      <c r="L180" t="s">
        <v>360</v>
      </c>
      <c r="M180" t="s">
        <v>345</v>
      </c>
      <c r="N180" t="s">
        <v>356</v>
      </c>
      <c r="O180" s="1">
        <v>33414</v>
      </c>
      <c r="P180">
        <v>6347262390</v>
      </c>
      <c r="Q180" t="s">
        <v>386</v>
      </c>
      <c r="R180">
        <v>44305</v>
      </c>
      <c r="S180" t="s">
        <v>358</v>
      </c>
      <c r="T180" t="s">
        <v>477</v>
      </c>
      <c r="U180" t="s">
        <v>344</v>
      </c>
      <c r="V180" t="s">
        <v>374</v>
      </c>
      <c r="W180" t="s">
        <v>310</v>
      </c>
      <c r="X180">
        <v>6570137231</v>
      </c>
      <c r="Y180">
        <v>23</v>
      </c>
      <c r="Z180" t="s">
        <v>297</v>
      </c>
      <c r="AA180" t="s">
        <v>478</v>
      </c>
      <c r="AB180" s="1">
        <v>44993</v>
      </c>
      <c r="AC180" s="3">
        <v>2691.78</v>
      </c>
      <c r="AD180" t="s">
        <v>311</v>
      </c>
      <c r="AE180" t="s">
        <v>376</v>
      </c>
    </row>
    <row r="181" spans="1:31" x14ac:dyDescent="0.3">
      <c r="A181" t="s">
        <v>246</v>
      </c>
      <c r="B181" t="s">
        <v>156</v>
      </c>
      <c r="C181" t="s">
        <v>47</v>
      </c>
      <c r="D181" s="1">
        <v>44933</v>
      </c>
      <c r="E181" s="2">
        <v>0.45833333333333331</v>
      </c>
      <c r="F181" t="s">
        <v>11</v>
      </c>
      <c r="G181" t="s">
        <v>12</v>
      </c>
      <c r="H181" t="s">
        <v>342</v>
      </c>
      <c r="I181" t="s">
        <v>354</v>
      </c>
      <c r="J181" s="3">
        <v>3228.14</v>
      </c>
      <c r="K181" s="1">
        <v>44933</v>
      </c>
      <c r="L181" t="s">
        <v>344</v>
      </c>
      <c r="M181" t="s">
        <v>432</v>
      </c>
      <c r="N181" t="s">
        <v>346</v>
      </c>
      <c r="O181" s="1">
        <v>32667</v>
      </c>
      <c r="P181">
        <v>6278710077</v>
      </c>
      <c r="Q181" t="s">
        <v>386</v>
      </c>
      <c r="R181">
        <v>44555</v>
      </c>
      <c r="S181" t="s">
        <v>358</v>
      </c>
      <c r="T181" t="s">
        <v>467</v>
      </c>
      <c r="U181" t="s">
        <v>383</v>
      </c>
      <c r="V181" t="s">
        <v>399</v>
      </c>
      <c r="W181" t="s">
        <v>308</v>
      </c>
      <c r="X181">
        <v>9069162601</v>
      </c>
      <c r="Y181">
        <v>5</v>
      </c>
      <c r="Z181" t="s">
        <v>299</v>
      </c>
      <c r="AA181" t="s">
        <v>468</v>
      </c>
      <c r="AB181" s="1">
        <v>45055</v>
      </c>
      <c r="AC181" s="3">
        <v>2097.48</v>
      </c>
      <c r="AD181" t="s">
        <v>311</v>
      </c>
      <c r="AE181" t="s">
        <v>376</v>
      </c>
    </row>
    <row r="182" spans="1:31" x14ac:dyDescent="0.3">
      <c r="A182" t="s">
        <v>247</v>
      </c>
      <c r="B182" t="s">
        <v>65</v>
      </c>
      <c r="C182" t="s">
        <v>7</v>
      </c>
      <c r="D182" s="1">
        <v>45172</v>
      </c>
      <c r="E182" s="2">
        <v>0.55208333333333337</v>
      </c>
      <c r="F182" t="s">
        <v>19</v>
      </c>
      <c r="G182" t="s">
        <v>34</v>
      </c>
      <c r="H182" t="s">
        <v>353</v>
      </c>
      <c r="I182" t="s">
        <v>354</v>
      </c>
      <c r="J182" s="3">
        <v>3941.64</v>
      </c>
      <c r="K182" s="1">
        <v>45172</v>
      </c>
      <c r="L182" t="s">
        <v>390</v>
      </c>
      <c r="M182" t="s">
        <v>391</v>
      </c>
      <c r="N182" t="s">
        <v>346</v>
      </c>
      <c r="O182" s="1">
        <v>31656</v>
      </c>
      <c r="P182">
        <v>8019925828</v>
      </c>
      <c r="Q182" t="s">
        <v>379</v>
      </c>
      <c r="R182">
        <v>44408</v>
      </c>
      <c r="S182" t="s">
        <v>358</v>
      </c>
      <c r="T182" t="s">
        <v>424</v>
      </c>
      <c r="U182" t="s">
        <v>360</v>
      </c>
      <c r="V182" t="s">
        <v>361</v>
      </c>
      <c r="W182" t="s">
        <v>310</v>
      </c>
      <c r="X182">
        <v>6594221991</v>
      </c>
      <c r="Y182">
        <v>28</v>
      </c>
      <c r="Z182" t="s">
        <v>297</v>
      </c>
      <c r="AA182" t="s">
        <v>425</v>
      </c>
      <c r="AB182" s="1">
        <v>45002</v>
      </c>
      <c r="AC182" s="3">
        <v>2360.9699999999998</v>
      </c>
      <c r="AD182" t="s">
        <v>317</v>
      </c>
      <c r="AE182" t="s">
        <v>363</v>
      </c>
    </row>
    <row r="183" spans="1:31" x14ac:dyDescent="0.3">
      <c r="A183" t="s">
        <v>248</v>
      </c>
      <c r="B183" t="s">
        <v>135</v>
      </c>
      <c r="C183" t="s">
        <v>47</v>
      </c>
      <c r="D183" s="1">
        <v>45028</v>
      </c>
      <c r="E183" s="2">
        <v>0.33333333333333331</v>
      </c>
      <c r="F183" t="s">
        <v>31</v>
      </c>
      <c r="G183" t="s">
        <v>34</v>
      </c>
      <c r="H183" t="s">
        <v>389</v>
      </c>
      <c r="I183" t="s">
        <v>354</v>
      </c>
      <c r="J183" s="3">
        <v>1286.77</v>
      </c>
      <c r="K183" s="1">
        <v>45028</v>
      </c>
      <c r="L183" t="s">
        <v>404</v>
      </c>
      <c r="M183" t="s">
        <v>432</v>
      </c>
      <c r="N183" t="s">
        <v>346</v>
      </c>
      <c r="O183" s="1">
        <v>32960</v>
      </c>
      <c r="P183">
        <v>9059178882</v>
      </c>
      <c r="Q183" t="s">
        <v>347</v>
      </c>
      <c r="R183">
        <v>44553</v>
      </c>
      <c r="S183" t="s">
        <v>348</v>
      </c>
      <c r="T183" t="s">
        <v>459</v>
      </c>
      <c r="U183" t="s">
        <v>383</v>
      </c>
      <c r="V183" t="s">
        <v>399</v>
      </c>
      <c r="W183" t="s">
        <v>308</v>
      </c>
      <c r="X183">
        <v>9069162601</v>
      </c>
      <c r="Y183">
        <v>5</v>
      </c>
      <c r="Z183" t="s">
        <v>299</v>
      </c>
      <c r="AA183" t="s">
        <v>460</v>
      </c>
      <c r="AB183" s="1">
        <v>45186</v>
      </c>
      <c r="AC183" s="3">
        <v>3628.15</v>
      </c>
      <c r="AD183" t="s">
        <v>316</v>
      </c>
      <c r="AE183" t="s">
        <v>363</v>
      </c>
    </row>
    <row r="184" spans="1:31" x14ac:dyDescent="0.3">
      <c r="A184" t="s">
        <v>249</v>
      </c>
      <c r="B184" t="s">
        <v>17</v>
      </c>
      <c r="C184" t="s">
        <v>7</v>
      </c>
      <c r="D184" s="1">
        <v>44960</v>
      </c>
      <c r="E184" s="2">
        <v>0.67708333333333337</v>
      </c>
      <c r="F184" t="s">
        <v>22</v>
      </c>
      <c r="G184" t="s">
        <v>34</v>
      </c>
      <c r="H184" t="s">
        <v>413</v>
      </c>
      <c r="I184" t="s">
        <v>354</v>
      </c>
      <c r="J184" s="3">
        <v>2761.55</v>
      </c>
      <c r="K184" s="1">
        <v>44960</v>
      </c>
      <c r="L184" t="s">
        <v>365</v>
      </c>
      <c r="M184" t="s">
        <v>378</v>
      </c>
      <c r="N184" t="s">
        <v>356</v>
      </c>
      <c r="O184" s="1">
        <v>26449</v>
      </c>
      <c r="P184">
        <v>7587653815</v>
      </c>
      <c r="Q184" t="s">
        <v>379</v>
      </c>
      <c r="R184">
        <v>44485</v>
      </c>
      <c r="S184" t="s">
        <v>367</v>
      </c>
      <c r="T184" t="s">
        <v>380</v>
      </c>
      <c r="U184" t="s">
        <v>360</v>
      </c>
      <c r="V184" t="s">
        <v>361</v>
      </c>
      <c r="W184" t="s">
        <v>310</v>
      </c>
      <c r="X184">
        <v>6594221991</v>
      </c>
      <c r="Y184">
        <v>28</v>
      </c>
      <c r="Z184" t="s">
        <v>297</v>
      </c>
      <c r="AA184" t="s">
        <v>382</v>
      </c>
      <c r="AB184" s="1">
        <v>45113</v>
      </c>
      <c r="AC184" s="3">
        <v>582.04999999999995</v>
      </c>
      <c r="AD184" t="s">
        <v>316</v>
      </c>
      <c r="AE184" t="s">
        <v>352</v>
      </c>
    </row>
    <row r="185" spans="1:31" x14ac:dyDescent="0.3">
      <c r="A185" t="s">
        <v>250</v>
      </c>
      <c r="B185" t="s">
        <v>227</v>
      </c>
      <c r="C185" t="s">
        <v>47</v>
      </c>
      <c r="D185" s="1">
        <v>44983</v>
      </c>
      <c r="E185" s="2">
        <v>0.73958333333333337</v>
      </c>
      <c r="F185" t="s">
        <v>3</v>
      </c>
      <c r="G185" t="s">
        <v>34</v>
      </c>
      <c r="H185" t="s">
        <v>389</v>
      </c>
      <c r="I185" t="s">
        <v>354</v>
      </c>
      <c r="J185" s="3">
        <v>2293.98</v>
      </c>
      <c r="K185" s="1">
        <v>44983</v>
      </c>
      <c r="L185" t="s">
        <v>381</v>
      </c>
      <c r="M185" t="s">
        <v>345</v>
      </c>
      <c r="N185" t="s">
        <v>346</v>
      </c>
      <c r="O185" s="1">
        <v>19958</v>
      </c>
      <c r="P185">
        <v>7040069008</v>
      </c>
      <c r="Q185" t="s">
        <v>386</v>
      </c>
      <c r="R185">
        <v>44635</v>
      </c>
      <c r="S185" t="s">
        <v>358</v>
      </c>
      <c r="T185" t="s">
        <v>475</v>
      </c>
      <c r="U185" t="s">
        <v>383</v>
      </c>
      <c r="V185" t="s">
        <v>399</v>
      </c>
      <c r="W185" t="s">
        <v>308</v>
      </c>
      <c r="X185">
        <v>9069162601</v>
      </c>
      <c r="Y185">
        <v>5</v>
      </c>
      <c r="Z185" t="s">
        <v>299</v>
      </c>
      <c r="AA185" t="s">
        <v>476</v>
      </c>
      <c r="AB185" s="1">
        <v>44927</v>
      </c>
      <c r="AC185" s="3">
        <v>2212.8000000000002</v>
      </c>
      <c r="AD185" t="s">
        <v>311</v>
      </c>
      <c r="AE185" t="s">
        <v>363</v>
      </c>
    </row>
    <row r="186" spans="1:31" x14ac:dyDescent="0.3">
      <c r="A186" t="s">
        <v>251</v>
      </c>
      <c r="B186" t="s">
        <v>170</v>
      </c>
      <c r="C186" t="s">
        <v>2</v>
      </c>
      <c r="D186" s="1">
        <v>45006</v>
      </c>
      <c r="E186" s="2">
        <v>0.58333333333333337</v>
      </c>
      <c r="F186" t="s">
        <v>11</v>
      </c>
      <c r="G186" t="s">
        <v>4</v>
      </c>
      <c r="H186" t="s">
        <v>377</v>
      </c>
      <c r="I186" t="s">
        <v>364</v>
      </c>
      <c r="J186" s="3">
        <v>1158.68</v>
      </c>
      <c r="K186" s="1">
        <v>45006</v>
      </c>
      <c r="L186" t="s">
        <v>404</v>
      </c>
      <c r="M186" t="s">
        <v>374</v>
      </c>
      <c r="N186" t="s">
        <v>356</v>
      </c>
      <c r="O186" s="1">
        <v>26278</v>
      </c>
      <c r="P186">
        <v>7060324619</v>
      </c>
      <c r="Q186" t="s">
        <v>347</v>
      </c>
      <c r="R186">
        <v>44822</v>
      </c>
      <c r="S186" t="s">
        <v>367</v>
      </c>
      <c r="T186" t="s">
        <v>471</v>
      </c>
      <c r="U186" t="s">
        <v>350</v>
      </c>
      <c r="V186" t="s">
        <v>345</v>
      </c>
      <c r="W186" t="s">
        <v>310</v>
      </c>
      <c r="X186">
        <v>7387087517</v>
      </c>
      <c r="Y186">
        <v>26</v>
      </c>
      <c r="Z186" t="s">
        <v>297</v>
      </c>
      <c r="AA186" t="s">
        <v>472</v>
      </c>
      <c r="AB186" s="1">
        <v>45033</v>
      </c>
      <c r="AC186" s="3">
        <v>3512.69</v>
      </c>
      <c r="AD186" t="s">
        <v>316</v>
      </c>
      <c r="AE186" t="s">
        <v>352</v>
      </c>
    </row>
    <row r="187" spans="1:31" x14ac:dyDescent="0.3">
      <c r="A187" t="s">
        <v>252</v>
      </c>
      <c r="B187" t="s">
        <v>116</v>
      </c>
      <c r="C187" t="s">
        <v>18</v>
      </c>
      <c r="D187" s="1">
        <v>45012</v>
      </c>
      <c r="E187" s="2">
        <v>0.71875</v>
      </c>
      <c r="F187" t="s">
        <v>31</v>
      </c>
      <c r="G187" t="s">
        <v>8</v>
      </c>
      <c r="H187" t="s">
        <v>353</v>
      </c>
      <c r="I187" t="s">
        <v>343</v>
      </c>
      <c r="J187" s="3">
        <v>2153.9</v>
      </c>
      <c r="K187" s="1">
        <v>45012</v>
      </c>
      <c r="L187" t="s">
        <v>404</v>
      </c>
      <c r="M187" t="s">
        <v>371</v>
      </c>
      <c r="N187" t="s">
        <v>356</v>
      </c>
      <c r="O187" s="1">
        <v>34330</v>
      </c>
      <c r="P187">
        <v>8301134730</v>
      </c>
      <c r="Q187" t="s">
        <v>347</v>
      </c>
      <c r="R187">
        <v>45044</v>
      </c>
      <c r="S187" t="s">
        <v>348</v>
      </c>
      <c r="T187" t="s">
        <v>451</v>
      </c>
      <c r="U187" t="s">
        <v>381</v>
      </c>
      <c r="V187" t="s">
        <v>345</v>
      </c>
      <c r="W187" t="s">
        <v>310</v>
      </c>
      <c r="X187">
        <v>8737740598</v>
      </c>
      <c r="Y187">
        <v>19</v>
      </c>
      <c r="Z187" t="s">
        <v>298</v>
      </c>
      <c r="AA187" t="s">
        <v>452</v>
      </c>
      <c r="AB187" s="1">
        <v>45106</v>
      </c>
      <c r="AC187" s="3">
        <v>1256.06</v>
      </c>
      <c r="AD187" t="s">
        <v>317</v>
      </c>
      <c r="AE187" t="s">
        <v>376</v>
      </c>
    </row>
    <row r="188" spans="1:31" x14ac:dyDescent="0.3">
      <c r="A188" t="s">
        <v>253</v>
      </c>
      <c r="B188" t="s">
        <v>110</v>
      </c>
      <c r="C188" t="s">
        <v>18</v>
      </c>
      <c r="D188" s="1">
        <v>44970</v>
      </c>
      <c r="E188" s="2">
        <v>0.52083333333333337</v>
      </c>
      <c r="F188" t="s">
        <v>11</v>
      </c>
      <c r="G188" t="s">
        <v>4</v>
      </c>
      <c r="H188" t="s">
        <v>413</v>
      </c>
      <c r="I188" t="s">
        <v>364</v>
      </c>
      <c r="J188" s="3">
        <v>806.78</v>
      </c>
      <c r="K188" s="1">
        <v>44970</v>
      </c>
      <c r="L188" t="s">
        <v>383</v>
      </c>
      <c r="M188" t="s">
        <v>355</v>
      </c>
      <c r="N188" t="s">
        <v>346</v>
      </c>
      <c r="O188" s="1">
        <v>35975</v>
      </c>
      <c r="P188">
        <v>8724518272</v>
      </c>
      <c r="Q188" t="s">
        <v>347</v>
      </c>
      <c r="R188">
        <v>44423</v>
      </c>
      <c r="S188" t="s">
        <v>372</v>
      </c>
      <c r="T188" t="s">
        <v>447</v>
      </c>
      <c r="U188" t="s">
        <v>381</v>
      </c>
      <c r="V188" t="s">
        <v>345</v>
      </c>
      <c r="W188" t="s">
        <v>310</v>
      </c>
      <c r="X188">
        <v>8737740598</v>
      </c>
      <c r="Y188">
        <v>19</v>
      </c>
      <c r="Z188" t="s">
        <v>298</v>
      </c>
      <c r="AA188" t="s">
        <v>448</v>
      </c>
      <c r="AB188" s="1">
        <v>44994</v>
      </c>
      <c r="AC188" s="3">
        <v>929.91</v>
      </c>
      <c r="AD188" t="s">
        <v>311</v>
      </c>
      <c r="AE188" t="s">
        <v>352</v>
      </c>
    </row>
    <row r="189" spans="1:31" x14ac:dyDescent="0.3">
      <c r="A189" t="s">
        <v>254</v>
      </c>
      <c r="B189" t="s">
        <v>105</v>
      </c>
      <c r="C189" t="s">
        <v>41</v>
      </c>
      <c r="D189" s="1">
        <v>45028</v>
      </c>
      <c r="E189" s="2">
        <v>0.6875</v>
      </c>
      <c r="F189" t="s">
        <v>31</v>
      </c>
      <c r="G189" t="s">
        <v>12</v>
      </c>
      <c r="H189" t="s">
        <v>342</v>
      </c>
      <c r="I189" t="s">
        <v>354</v>
      </c>
      <c r="J189" s="3">
        <v>616.15</v>
      </c>
      <c r="K189" s="1">
        <v>45028</v>
      </c>
      <c r="L189" t="s">
        <v>365</v>
      </c>
      <c r="M189" t="s">
        <v>345</v>
      </c>
      <c r="N189" t="s">
        <v>346</v>
      </c>
      <c r="O189" s="1">
        <v>30967</v>
      </c>
      <c r="P189">
        <v>8228188767</v>
      </c>
      <c r="Q189" t="s">
        <v>347</v>
      </c>
      <c r="R189">
        <v>44576</v>
      </c>
      <c r="S189" t="s">
        <v>367</v>
      </c>
      <c r="T189" t="s">
        <v>445</v>
      </c>
      <c r="U189" t="s">
        <v>381</v>
      </c>
      <c r="V189" t="s">
        <v>374</v>
      </c>
      <c r="W189" t="s">
        <v>310</v>
      </c>
      <c r="X189">
        <v>9004382050</v>
      </c>
      <c r="Y189">
        <v>24</v>
      </c>
      <c r="Z189" t="s">
        <v>298</v>
      </c>
      <c r="AA189" t="s">
        <v>446</v>
      </c>
      <c r="AB189" s="1">
        <v>45205</v>
      </c>
      <c r="AC189" s="3">
        <v>1736.63</v>
      </c>
      <c r="AD189" t="s">
        <v>311</v>
      </c>
      <c r="AE189" t="s">
        <v>376</v>
      </c>
    </row>
    <row r="190" spans="1:31" x14ac:dyDescent="0.3">
      <c r="A190" t="s">
        <v>255</v>
      </c>
      <c r="B190" t="s">
        <v>33</v>
      </c>
      <c r="C190" t="s">
        <v>28</v>
      </c>
      <c r="D190" s="1">
        <v>45204</v>
      </c>
      <c r="E190" s="2">
        <v>0.5625</v>
      </c>
      <c r="F190" t="s">
        <v>31</v>
      </c>
      <c r="G190" t="s">
        <v>4</v>
      </c>
      <c r="H190" t="s">
        <v>413</v>
      </c>
      <c r="I190" t="s">
        <v>354</v>
      </c>
      <c r="J190" s="3">
        <v>1108.25</v>
      </c>
      <c r="K190" s="1">
        <v>45204</v>
      </c>
      <c r="L190" t="s">
        <v>360</v>
      </c>
      <c r="M190" t="s">
        <v>371</v>
      </c>
      <c r="N190" t="s">
        <v>356</v>
      </c>
      <c r="O190" s="1">
        <v>22090</v>
      </c>
      <c r="P190">
        <v>7734463155</v>
      </c>
      <c r="Q190" t="s">
        <v>357</v>
      </c>
      <c r="R190">
        <v>44468</v>
      </c>
      <c r="S190" t="s">
        <v>358</v>
      </c>
      <c r="T190" t="s">
        <v>396</v>
      </c>
      <c r="U190" t="s">
        <v>383</v>
      </c>
      <c r="V190" t="s">
        <v>371</v>
      </c>
      <c r="W190" t="s">
        <v>309</v>
      </c>
      <c r="X190">
        <v>6176383634</v>
      </c>
      <c r="Y190">
        <v>21</v>
      </c>
      <c r="Z190" t="s">
        <v>298</v>
      </c>
      <c r="AA190" t="s">
        <v>397</v>
      </c>
      <c r="AB190" s="1">
        <v>44939</v>
      </c>
      <c r="AC190" s="3">
        <v>1595.67</v>
      </c>
      <c r="AD190" t="s">
        <v>311</v>
      </c>
      <c r="AE190" t="s">
        <v>363</v>
      </c>
    </row>
    <row r="191" spans="1:31" x14ac:dyDescent="0.3">
      <c r="A191" t="s">
        <v>256</v>
      </c>
      <c r="B191" t="s">
        <v>38</v>
      </c>
      <c r="C191" t="s">
        <v>18</v>
      </c>
      <c r="D191" s="1">
        <v>45246</v>
      </c>
      <c r="E191" s="2">
        <v>0.63541666666666663</v>
      </c>
      <c r="F191" t="s">
        <v>22</v>
      </c>
      <c r="G191" t="s">
        <v>4</v>
      </c>
      <c r="H191" t="s">
        <v>342</v>
      </c>
      <c r="I191" t="s">
        <v>354</v>
      </c>
      <c r="J191" s="3">
        <v>4834.0200000000004</v>
      </c>
      <c r="K191" s="1">
        <v>45246</v>
      </c>
      <c r="L191" t="s">
        <v>360</v>
      </c>
      <c r="M191" t="s">
        <v>345</v>
      </c>
      <c r="N191" t="s">
        <v>356</v>
      </c>
      <c r="O191" s="1">
        <v>38487</v>
      </c>
      <c r="P191">
        <v>8923607677</v>
      </c>
      <c r="Q191" t="s">
        <v>386</v>
      </c>
      <c r="R191">
        <v>45035</v>
      </c>
      <c r="S191" t="s">
        <v>372</v>
      </c>
      <c r="T191" t="s">
        <v>402</v>
      </c>
      <c r="U191" t="s">
        <v>381</v>
      </c>
      <c r="V191" t="s">
        <v>345</v>
      </c>
      <c r="W191" t="s">
        <v>310</v>
      </c>
      <c r="X191">
        <v>8737740598</v>
      </c>
      <c r="Y191">
        <v>19</v>
      </c>
      <c r="Z191" t="s">
        <v>298</v>
      </c>
      <c r="AA191" t="s">
        <v>403</v>
      </c>
      <c r="AB191" s="1">
        <v>45053</v>
      </c>
      <c r="AC191" s="3">
        <v>771.2</v>
      </c>
      <c r="AD191" t="s">
        <v>317</v>
      </c>
      <c r="AE191" t="s">
        <v>352</v>
      </c>
    </row>
    <row r="192" spans="1:31" x14ac:dyDescent="0.3">
      <c r="A192" t="s">
        <v>257</v>
      </c>
      <c r="B192" t="s">
        <v>49</v>
      </c>
      <c r="C192" t="s">
        <v>18</v>
      </c>
      <c r="D192" s="1">
        <v>45028</v>
      </c>
      <c r="E192" s="2">
        <v>0.66666666666666663</v>
      </c>
      <c r="F192" t="s">
        <v>11</v>
      </c>
      <c r="G192" t="s">
        <v>12</v>
      </c>
      <c r="H192" t="s">
        <v>413</v>
      </c>
      <c r="I192" t="s">
        <v>364</v>
      </c>
      <c r="J192" s="3">
        <v>2972.88</v>
      </c>
      <c r="K192" s="1">
        <v>45028</v>
      </c>
      <c r="L192" t="s">
        <v>370</v>
      </c>
      <c r="M192" t="s">
        <v>378</v>
      </c>
      <c r="N192" t="s">
        <v>356</v>
      </c>
      <c r="O192" s="1">
        <v>36196</v>
      </c>
      <c r="P192">
        <v>8886800195</v>
      </c>
      <c r="Q192" t="s">
        <v>379</v>
      </c>
      <c r="R192">
        <v>44469</v>
      </c>
      <c r="S192" t="s">
        <v>372</v>
      </c>
      <c r="T192" t="s">
        <v>411</v>
      </c>
      <c r="U192" t="s">
        <v>381</v>
      </c>
      <c r="V192" t="s">
        <v>345</v>
      </c>
      <c r="W192" t="s">
        <v>310</v>
      </c>
      <c r="X192">
        <v>8737740598</v>
      </c>
      <c r="Y192">
        <v>19</v>
      </c>
      <c r="Z192" t="s">
        <v>298</v>
      </c>
      <c r="AA192" t="s">
        <v>412</v>
      </c>
      <c r="AB192" s="1">
        <v>45118</v>
      </c>
      <c r="AC192" s="3">
        <v>1655.49</v>
      </c>
      <c r="AD192" t="s">
        <v>316</v>
      </c>
      <c r="AE192" t="s">
        <v>352</v>
      </c>
    </row>
    <row r="193" spans="1:31" x14ac:dyDescent="0.3">
      <c r="A193" t="s">
        <v>258</v>
      </c>
      <c r="B193" t="s">
        <v>245</v>
      </c>
      <c r="C193" t="s">
        <v>67</v>
      </c>
      <c r="D193" s="1">
        <v>45169</v>
      </c>
      <c r="E193" s="2">
        <v>0.59375</v>
      </c>
      <c r="F193" t="s">
        <v>11</v>
      </c>
      <c r="G193" t="s">
        <v>12</v>
      </c>
      <c r="H193" t="s">
        <v>389</v>
      </c>
      <c r="I193" t="s">
        <v>364</v>
      </c>
      <c r="J193" s="3">
        <v>4846.2</v>
      </c>
      <c r="K193" s="1">
        <v>45169</v>
      </c>
      <c r="L193" t="s">
        <v>360</v>
      </c>
      <c r="M193" t="s">
        <v>345</v>
      </c>
      <c r="N193" t="s">
        <v>356</v>
      </c>
      <c r="O193" s="1">
        <v>33414</v>
      </c>
      <c r="P193">
        <v>6347262390</v>
      </c>
      <c r="Q193" t="s">
        <v>386</v>
      </c>
      <c r="R193">
        <v>44305</v>
      </c>
      <c r="S193" t="s">
        <v>358</v>
      </c>
      <c r="T193" t="s">
        <v>477</v>
      </c>
      <c r="U193" t="s">
        <v>350</v>
      </c>
      <c r="V193" t="s">
        <v>391</v>
      </c>
      <c r="W193" t="s">
        <v>308</v>
      </c>
      <c r="X193">
        <v>9118538547</v>
      </c>
      <c r="Y193">
        <v>26</v>
      </c>
      <c r="Z193" t="s">
        <v>297</v>
      </c>
      <c r="AA193" t="s">
        <v>478</v>
      </c>
      <c r="AB193" s="1">
        <v>44993</v>
      </c>
      <c r="AC193" s="3">
        <v>2691.78</v>
      </c>
      <c r="AD193" t="s">
        <v>311</v>
      </c>
      <c r="AE193" t="s">
        <v>376</v>
      </c>
    </row>
    <row r="194" spans="1:31" x14ac:dyDescent="0.3">
      <c r="A194" t="s">
        <v>259</v>
      </c>
      <c r="B194" t="s">
        <v>93</v>
      </c>
      <c r="C194" t="s">
        <v>67</v>
      </c>
      <c r="D194" s="1">
        <v>45184</v>
      </c>
      <c r="E194" s="2">
        <v>0.34375</v>
      </c>
      <c r="F194" t="s">
        <v>3</v>
      </c>
      <c r="G194" t="s">
        <v>12</v>
      </c>
      <c r="H194" t="s">
        <v>389</v>
      </c>
      <c r="I194" t="s">
        <v>354</v>
      </c>
      <c r="J194" s="3">
        <v>2446.2399999999998</v>
      </c>
      <c r="K194" s="1">
        <v>45184</v>
      </c>
      <c r="L194" t="s">
        <v>350</v>
      </c>
      <c r="M194" t="s">
        <v>366</v>
      </c>
      <c r="N194" t="s">
        <v>356</v>
      </c>
      <c r="O194" s="1">
        <v>27538</v>
      </c>
      <c r="P194">
        <v>8618058864</v>
      </c>
      <c r="Q194" t="s">
        <v>386</v>
      </c>
      <c r="R194">
        <v>45101</v>
      </c>
      <c r="S194" t="s">
        <v>348</v>
      </c>
      <c r="T194" t="s">
        <v>439</v>
      </c>
      <c r="U194" t="s">
        <v>350</v>
      </c>
      <c r="V194" t="s">
        <v>391</v>
      </c>
      <c r="W194" t="s">
        <v>308</v>
      </c>
      <c r="X194">
        <v>9118538547</v>
      </c>
      <c r="Y194">
        <v>26</v>
      </c>
      <c r="Z194" t="s">
        <v>297</v>
      </c>
      <c r="AA194" t="s">
        <v>440</v>
      </c>
      <c r="AB194" s="1">
        <v>45280</v>
      </c>
      <c r="AC194" s="3">
        <v>1526.36</v>
      </c>
      <c r="AD194" t="s">
        <v>311</v>
      </c>
      <c r="AE194" t="s">
        <v>363</v>
      </c>
    </row>
    <row r="195" spans="1:31" x14ac:dyDescent="0.3">
      <c r="A195" t="s">
        <v>260</v>
      </c>
      <c r="B195" t="s">
        <v>147</v>
      </c>
      <c r="C195" t="s">
        <v>41</v>
      </c>
      <c r="D195" s="1">
        <v>45022</v>
      </c>
      <c r="E195" s="2">
        <v>0.53125</v>
      </c>
      <c r="F195" t="s">
        <v>3</v>
      </c>
      <c r="G195" t="s">
        <v>4</v>
      </c>
      <c r="H195" t="s">
        <v>389</v>
      </c>
      <c r="I195" t="s">
        <v>364</v>
      </c>
      <c r="J195" s="3">
        <v>1903.17</v>
      </c>
      <c r="K195" s="1">
        <v>45022</v>
      </c>
      <c r="L195" t="s">
        <v>360</v>
      </c>
      <c r="M195" t="s">
        <v>374</v>
      </c>
      <c r="N195" t="s">
        <v>346</v>
      </c>
      <c r="O195" s="1">
        <v>27946</v>
      </c>
      <c r="P195">
        <v>7090558393</v>
      </c>
      <c r="Q195" t="s">
        <v>379</v>
      </c>
      <c r="R195">
        <v>44341</v>
      </c>
      <c r="S195" t="s">
        <v>348</v>
      </c>
      <c r="T195" t="s">
        <v>463</v>
      </c>
      <c r="U195" t="s">
        <v>381</v>
      </c>
      <c r="V195" t="s">
        <v>374</v>
      </c>
      <c r="W195" t="s">
        <v>310</v>
      </c>
      <c r="X195">
        <v>9004382050</v>
      </c>
      <c r="Y195">
        <v>24</v>
      </c>
      <c r="Z195" t="s">
        <v>298</v>
      </c>
      <c r="AA195" t="s">
        <v>464</v>
      </c>
      <c r="AB195" s="1">
        <v>45048</v>
      </c>
      <c r="AC195" s="3">
        <v>1733.72</v>
      </c>
      <c r="AD195" t="s">
        <v>311</v>
      </c>
      <c r="AE195" t="s">
        <v>363</v>
      </c>
    </row>
    <row r="196" spans="1:31" x14ac:dyDescent="0.3">
      <c r="A196" t="s">
        <v>261</v>
      </c>
      <c r="B196" t="s">
        <v>10</v>
      </c>
      <c r="C196" t="s">
        <v>28</v>
      </c>
      <c r="D196" s="1">
        <v>45157</v>
      </c>
      <c r="E196" s="2">
        <v>0.71875</v>
      </c>
      <c r="F196" t="s">
        <v>22</v>
      </c>
      <c r="G196" t="s">
        <v>4</v>
      </c>
      <c r="H196" t="s">
        <v>377</v>
      </c>
      <c r="I196" t="s">
        <v>364</v>
      </c>
      <c r="J196" s="3">
        <v>2777.64</v>
      </c>
      <c r="K196" s="1">
        <v>45157</v>
      </c>
      <c r="L196" t="s">
        <v>365</v>
      </c>
      <c r="M196" t="s">
        <v>366</v>
      </c>
      <c r="N196" t="s">
        <v>356</v>
      </c>
      <c r="O196" s="1">
        <v>30399</v>
      </c>
      <c r="P196">
        <v>8720989381</v>
      </c>
      <c r="Q196" t="s">
        <v>357</v>
      </c>
      <c r="R196">
        <v>45096</v>
      </c>
      <c r="S196" t="s">
        <v>367</v>
      </c>
      <c r="T196" t="s">
        <v>368</v>
      </c>
      <c r="U196" t="s">
        <v>383</v>
      </c>
      <c r="V196" t="s">
        <v>371</v>
      </c>
      <c r="W196" t="s">
        <v>309</v>
      </c>
      <c r="X196">
        <v>6176383634</v>
      </c>
      <c r="Y196">
        <v>21</v>
      </c>
      <c r="Z196" t="s">
        <v>298</v>
      </c>
      <c r="AA196" t="s">
        <v>369</v>
      </c>
      <c r="AB196" s="1">
        <v>45105</v>
      </c>
      <c r="AC196" s="3">
        <v>3731.55</v>
      </c>
      <c r="AD196" t="s">
        <v>317</v>
      </c>
      <c r="AE196" t="s">
        <v>363</v>
      </c>
    </row>
    <row r="197" spans="1:31" x14ac:dyDescent="0.3">
      <c r="A197" t="s">
        <v>262</v>
      </c>
      <c r="B197" t="s">
        <v>21</v>
      </c>
      <c r="C197" t="s">
        <v>15</v>
      </c>
      <c r="D197" s="1">
        <v>45225</v>
      </c>
      <c r="E197" s="2">
        <v>0.40625</v>
      </c>
      <c r="F197" t="s">
        <v>22</v>
      </c>
      <c r="G197" t="s">
        <v>12</v>
      </c>
      <c r="H197" t="s">
        <v>342</v>
      </c>
      <c r="I197" t="s">
        <v>354</v>
      </c>
      <c r="J197" s="3">
        <v>2477.8000000000002</v>
      </c>
      <c r="K197" s="1">
        <v>45225</v>
      </c>
      <c r="L197" t="s">
        <v>383</v>
      </c>
      <c r="M197" t="s">
        <v>366</v>
      </c>
      <c r="N197" t="s">
        <v>346</v>
      </c>
      <c r="O197" s="1">
        <v>24222</v>
      </c>
      <c r="P197">
        <v>7579616535</v>
      </c>
      <c r="Q197" t="s">
        <v>347</v>
      </c>
      <c r="R197">
        <v>44219</v>
      </c>
      <c r="S197" t="s">
        <v>358</v>
      </c>
      <c r="T197" t="s">
        <v>384</v>
      </c>
      <c r="U197" t="s">
        <v>344</v>
      </c>
      <c r="V197" t="s">
        <v>374</v>
      </c>
      <c r="W197" t="s">
        <v>310</v>
      </c>
      <c r="X197">
        <v>6570137231</v>
      </c>
      <c r="Y197">
        <v>23</v>
      </c>
      <c r="Z197" t="s">
        <v>297</v>
      </c>
      <c r="AA197" t="s">
        <v>385</v>
      </c>
      <c r="AB197" s="1">
        <v>45096</v>
      </c>
      <c r="AC197" s="3">
        <v>1381</v>
      </c>
      <c r="AD197" t="s">
        <v>317</v>
      </c>
      <c r="AE197" t="s">
        <v>352</v>
      </c>
    </row>
    <row r="198" spans="1:31" x14ac:dyDescent="0.3">
      <c r="A198" t="s">
        <v>263</v>
      </c>
      <c r="B198" t="s">
        <v>24</v>
      </c>
      <c r="C198" t="s">
        <v>67</v>
      </c>
      <c r="D198" s="1">
        <v>45017</v>
      </c>
      <c r="E198" s="2">
        <v>0.5625</v>
      </c>
      <c r="F198" t="s">
        <v>19</v>
      </c>
      <c r="G198" t="s">
        <v>8</v>
      </c>
      <c r="H198" t="s">
        <v>389</v>
      </c>
      <c r="I198" t="s">
        <v>364</v>
      </c>
      <c r="J198" s="3">
        <v>975.49</v>
      </c>
      <c r="K198" s="1">
        <v>45017</v>
      </c>
      <c r="L198" t="s">
        <v>360</v>
      </c>
      <c r="M198" t="s">
        <v>378</v>
      </c>
      <c r="N198" t="s">
        <v>346</v>
      </c>
      <c r="O198" s="1">
        <v>20244</v>
      </c>
      <c r="P198">
        <v>6939585183</v>
      </c>
      <c r="Q198" t="s">
        <v>386</v>
      </c>
      <c r="R198">
        <v>44735</v>
      </c>
      <c r="S198" t="s">
        <v>348</v>
      </c>
      <c r="T198" t="s">
        <v>387</v>
      </c>
      <c r="U198" t="s">
        <v>350</v>
      </c>
      <c r="V198" t="s">
        <v>391</v>
      </c>
      <c r="W198" t="s">
        <v>308</v>
      </c>
      <c r="X198">
        <v>9118538547</v>
      </c>
      <c r="Y198">
        <v>26</v>
      </c>
      <c r="Z198" t="s">
        <v>297</v>
      </c>
      <c r="AA198" t="s">
        <v>388</v>
      </c>
      <c r="AB198" s="1">
        <v>45025</v>
      </c>
      <c r="AC198" s="3">
        <v>534.03</v>
      </c>
      <c r="AD198" t="s">
        <v>311</v>
      </c>
      <c r="AE198" t="s">
        <v>376</v>
      </c>
    </row>
    <row r="199" spans="1:31" x14ac:dyDescent="0.3">
      <c r="A199" t="s">
        <v>264</v>
      </c>
      <c r="B199" t="s">
        <v>36</v>
      </c>
      <c r="C199" t="s">
        <v>15</v>
      </c>
      <c r="D199" s="1">
        <v>45061</v>
      </c>
      <c r="E199" s="2">
        <v>0.35416666666666669</v>
      </c>
      <c r="F199" t="s">
        <v>3</v>
      </c>
      <c r="G199" t="s">
        <v>8</v>
      </c>
      <c r="H199" t="s">
        <v>377</v>
      </c>
      <c r="I199" t="s">
        <v>343</v>
      </c>
      <c r="J199" s="3">
        <v>3383.72</v>
      </c>
      <c r="K199" s="1">
        <v>45061</v>
      </c>
      <c r="L199" t="s">
        <v>398</v>
      </c>
      <c r="M199" t="s">
        <v>399</v>
      </c>
      <c r="N199" t="s">
        <v>356</v>
      </c>
      <c r="O199" s="1">
        <v>20219</v>
      </c>
      <c r="P199">
        <v>6221099573</v>
      </c>
      <c r="Q199" t="s">
        <v>347</v>
      </c>
      <c r="R199">
        <v>44327</v>
      </c>
      <c r="S199" t="s">
        <v>358</v>
      </c>
      <c r="T199" t="s">
        <v>400</v>
      </c>
      <c r="U199" t="s">
        <v>344</v>
      </c>
      <c r="V199" t="s">
        <v>374</v>
      </c>
      <c r="W199" t="s">
        <v>310</v>
      </c>
      <c r="X199">
        <v>6570137231</v>
      </c>
      <c r="Y199">
        <v>23</v>
      </c>
      <c r="Z199" t="s">
        <v>297</v>
      </c>
      <c r="AA199" t="s">
        <v>401</v>
      </c>
      <c r="AB199" s="1">
        <v>45242</v>
      </c>
      <c r="AC199" s="3">
        <v>4671.66</v>
      </c>
      <c r="AD199" t="s">
        <v>311</v>
      </c>
      <c r="AE199" t="s">
        <v>376</v>
      </c>
    </row>
    <row r="200" spans="1:31" x14ac:dyDescent="0.3">
      <c r="A200" t="s">
        <v>265</v>
      </c>
      <c r="B200" t="s">
        <v>144</v>
      </c>
      <c r="C200" t="s">
        <v>52</v>
      </c>
      <c r="D200" s="1">
        <v>45047</v>
      </c>
      <c r="E200" s="2">
        <v>0.53125</v>
      </c>
      <c r="F200" t="s">
        <v>31</v>
      </c>
      <c r="G200" t="s">
        <v>34</v>
      </c>
      <c r="H200" t="s">
        <v>342</v>
      </c>
      <c r="I200" t="s">
        <v>343</v>
      </c>
      <c r="J200" s="3">
        <v>1472.17</v>
      </c>
      <c r="K200" s="1">
        <v>45047</v>
      </c>
      <c r="L200" t="s">
        <v>381</v>
      </c>
      <c r="M200" t="s">
        <v>361</v>
      </c>
      <c r="N200" t="s">
        <v>356</v>
      </c>
      <c r="O200" s="1">
        <v>33359</v>
      </c>
      <c r="P200">
        <v>6158428240</v>
      </c>
      <c r="Q200" t="s">
        <v>379</v>
      </c>
      <c r="R200">
        <v>44830</v>
      </c>
      <c r="S200" t="s">
        <v>348</v>
      </c>
      <c r="T200" t="s">
        <v>461</v>
      </c>
      <c r="U200" t="s">
        <v>360</v>
      </c>
      <c r="V200" t="s">
        <v>391</v>
      </c>
      <c r="W200" t="s">
        <v>308</v>
      </c>
      <c r="X200">
        <v>8322010158</v>
      </c>
      <c r="Y200">
        <v>17</v>
      </c>
      <c r="Z200" t="s">
        <v>299</v>
      </c>
      <c r="AA200" t="s">
        <v>462</v>
      </c>
      <c r="AB200" s="1">
        <v>45228</v>
      </c>
      <c r="AC200" s="3">
        <v>3759.52</v>
      </c>
      <c r="AD200" t="s">
        <v>311</v>
      </c>
      <c r="AE200" t="s">
        <v>352</v>
      </c>
    </row>
    <row r="201" spans="1:31" x14ac:dyDescent="0.3">
      <c r="A201" t="s">
        <v>266</v>
      </c>
      <c r="B201" t="s">
        <v>156</v>
      </c>
      <c r="C201" t="s">
        <v>67</v>
      </c>
      <c r="D201" s="1">
        <v>45290</v>
      </c>
      <c r="E201" s="2">
        <v>0.42708333333333331</v>
      </c>
      <c r="F201" t="s">
        <v>11</v>
      </c>
      <c r="G201" t="s">
        <v>12</v>
      </c>
      <c r="H201" t="s">
        <v>413</v>
      </c>
      <c r="I201" t="s">
        <v>343</v>
      </c>
      <c r="J201" s="3">
        <v>3288.15</v>
      </c>
      <c r="K201" s="1">
        <v>45290</v>
      </c>
      <c r="L201" t="s">
        <v>344</v>
      </c>
      <c r="M201" t="s">
        <v>432</v>
      </c>
      <c r="N201" t="s">
        <v>346</v>
      </c>
      <c r="O201" s="1">
        <v>32667</v>
      </c>
      <c r="P201">
        <v>6278710077</v>
      </c>
      <c r="Q201" t="s">
        <v>386</v>
      </c>
      <c r="R201">
        <v>44555</v>
      </c>
      <c r="S201" t="s">
        <v>358</v>
      </c>
      <c r="T201" t="s">
        <v>467</v>
      </c>
      <c r="U201" t="s">
        <v>350</v>
      </c>
      <c r="V201" t="s">
        <v>391</v>
      </c>
      <c r="W201" t="s">
        <v>308</v>
      </c>
      <c r="X201">
        <v>9118538547</v>
      </c>
      <c r="Y201">
        <v>26</v>
      </c>
      <c r="Z201" t="s">
        <v>297</v>
      </c>
      <c r="AA201" t="s">
        <v>468</v>
      </c>
      <c r="AB201" s="1">
        <v>45055</v>
      </c>
      <c r="AC201" s="3">
        <v>2097.48</v>
      </c>
      <c r="AD201" t="s">
        <v>311</v>
      </c>
      <c r="AE201" t="s">
        <v>376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5F2A7-05C9-4B3D-8B5B-58FB26BE614B}">
  <dimension ref="A1:AK201"/>
  <sheetViews>
    <sheetView topLeftCell="U1" workbookViewId="0">
      <selection activeCell="AG20" sqref="AG20"/>
    </sheetView>
  </sheetViews>
  <sheetFormatPr defaultRowHeight="14.4" x14ac:dyDescent="0.3"/>
  <cols>
    <col min="1" max="1" width="17.21875" bestFit="1" customWidth="1"/>
    <col min="2" max="2" width="11.88671875" bestFit="1" customWidth="1"/>
    <col min="3" max="3" width="11.5546875" bestFit="1" customWidth="1"/>
    <col min="4" max="4" width="19.5546875" bestFit="1" customWidth="1"/>
    <col min="5" max="5" width="19.77734375" bestFit="1" customWidth="1"/>
    <col min="6" max="6" width="17.6640625" bestFit="1" customWidth="1"/>
    <col min="7" max="7" width="9.88671875" bestFit="1" customWidth="1"/>
    <col min="8" max="9" width="17.21875" bestFit="1" customWidth="1"/>
    <col min="10" max="10" width="8" bestFit="1" customWidth="1"/>
    <col min="11" max="11" width="17" bestFit="1" customWidth="1"/>
    <col min="12" max="12" width="12.6640625" bestFit="1" customWidth="1"/>
    <col min="13" max="13" width="12.5546875" bestFit="1" customWidth="1"/>
    <col min="14" max="14" width="9.33203125" bestFit="1" customWidth="1"/>
    <col min="15" max="15" width="15.109375" bestFit="1" customWidth="1"/>
    <col min="16" max="16" width="17.77734375" bestFit="1" customWidth="1"/>
    <col min="17" max="17" width="11.88671875" bestFit="1" customWidth="1"/>
    <col min="18" max="18" width="18.21875" bestFit="1" customWidth="1"/>
    <col min="19" max="19" width="19.77734375" bestFit="1" customWidth="1"/>
    <col min="20" max="20" width="19.5546875" bestFit="1" customWidth="1"/>
    <col min="21" max="21" width="13.6640625" bestFit="1" customWidth="1"/>
    <col min="22" max="22" width="13.5546875" bestFit="1" customWidth="1"/>
    <col min="23" max="23" width="14.6640625" bestFit="1" customWidth="1"/>
    <col min="24" max="24" width="16.6640625" bestFit="1" customWidth="1"/>
    <col min="25" max="25" width="17.88671875" bestFit="1" customWidth="1"/>
    <col min="26" max="26" width="17" bestFit="1" customWidth="1"/>
    <col min="27" max="27" width="14.6640625" bestFit="1" customWidth="1"/>
    <col min="28" max="28" width="10.5546875" bestFit="1" customWidth="1"/>
    <col min="29" max="29" width="10.109375" bestFit="1" customWidth="1"/>
    <col min="30" max="30" width="18.6640625" bestFit="1" customWidth="1"/>
    <col min="31" max="31" width="17.109375" bestFit="1" customWidth="1"/>
    <col min="33" max="33" width="11.5546875" bestFit="1" customWidth="1"/>
    <col min="34" max="34" width="14.33203125" customWidth="1"/>
    <col min="35" max="35" width="6.5546875" customWidth="1"/>
    <col min="36" max="36" width="15.6640625" customWidth="1"/>
    <col min="37" max="37" width="12.5546875" customWidth="1"/>
  </cols>
  <sheetData>
    <row r="1" spans="1:37" x14ac:dyDescent="0.3">
      <c r="A1" s="20" t="s">
        <v>267</v>
      </c>
      <c r="B1" s="20" t="s">
        <v>268</v>
      </c>
      <c r="C1" s="20" t="s">
        <v>269</v>
      </c>
      <c r="D1" s="20" t="s">
        <v>270</v>
      </c>
      <c r="E1" s="20" t="s">
        <v>271</v>
      </c>
      <c r="F1" s="20" t="s">
        <v>272</v>
      </c>
      <c r="G1" s="20" t="s">
        <v>273</v>
      </c>
      <c r="H1" s="20" t="s">
        <v>274</v>
      </c>
      <c r="I1" s="20" t="s">
        <v>275</v>
      </c>
      <c r="J1" s="20" t="s">
        <v>276</v>
      </c>
      <c r="K1" s="20" t="s">
        <v>277</v>
      </c>
      <c r="L1" s="20" t="s">
        <v>278</v>
      </c>
      <c r="M1" s="20" t="s">
        <v>279</v>
      </c>
      <c r="N1" s="20" t="s">
        <v>280</v>
      </c>
      <c r="O1" s="20" t="s">
        <v>281</v>
      </c>
      <c r="P1" s="20" t="s">
        <v>282</v>
      </c>
      <c r="Q1" s="20" t="s">
        <v>283</v>
      </c>
      <c r="R1" s="20" t="s">
        <v>284</v>
      </c>
      <c r="S1" s="20" t="s">
        <v>285</v>
      </c>
      <c r="T1" s="20" t="s">
        <v>286</v>
      </c>
      <c r="U1" s="20" t="s">
        <v>479</v>
      </c>
      <c r="V1" s="20" t="s">
        <v>480</v>
      </c>
      <c r="W1" s="20" t="s">
        <v>287</v>
      </c>
      <c r="X1" s="20" t="s">
        <v>288</v>
      </c>
      <c r="Y1" s="20" t="s">
        <v>289</v>
      </c>
      <c r="Z1" s="20" t="s">
        <v>290</v>
      </c>
      <c r="AA1" s="20" t="s">
        <v>291</v>
      </c>
      <c r="AB1" s="20" t="s">
        <v>292</v>
      </c>
      <c r="AC1" s="20" t="s">
        <v>293</v>
      </c>
      <c r="AD1" s="20" t="s">
        <v>294</v>
      </c>
      <c r="AE1" s="20" t="s">
        <v>295</v>
      </c>
    </row>
    <row r="2" spans="1:37" x14ac:dyDescent="0.3">
      <c r="A2" s="13" t="s">
        <v>0</v>
      </c>
      <c r="B2" s="13" t="s">
        <v>1</v>
      </c>
      <c r="C2" s="13" t="s">
        <v>2</v>
      </c>
      <c r="D2" s="14">
        <v>45147</v>
      </c>
      <c r="E2" s="15">
        <v>0.63541666666666663</v>
      </c>
      <c r="F2" s="13" t="s">
        <v>3</v>
      </c>
      <c r="G2" s="13" t="s">
        <v>4</v>
      </c>
      <c r="H2" s="13" t="s">
        <v>342</v>
      </c>
      <c r="I2" s="13" t="s">
        <v>343</v>
      </c>
      <c r="J2" s="13">
        <v>3941.97</v>
      </c>
      <c r="K2" s="14">
        <v>45147</v>
      </c>
      <c r="L2" s="13" t="s">
        <v>344</v>
      </c>
      <c r="M2" s="13" t="s">
        <v>345</v>
      </c>
      <c r="N2" s="13" t="s">
        <v>481</v>
      </c>
      <c r="O2" s="14">
        <v>18289</v>
      </c>
      <c r="P2" s="13">
        <v>8374657733</v>
      </c>
      <c r="Q2" s="13" t="s">
        <v>347</v>
      </c>
      <c r="R2" s="14">
        <v>45095</v>
      </c>
      <c r="S2" s="13" t="s">
        <v>348</v>
      </c>
      <c r="T2" s="13" t="s">
        <v>349</v>
      </c>
      <c r="U2" s="13" t="s">
        <v>350</v>
      </c>
      <c r="V2" s="13" t="s">
        <v>345</v>
      </c>
      <c r="W2" s="13" t="s">
        <v>310</v>
      </c>
      <c r="X2" s="13">
        <v>7387087517</v>
      </c>
      <c r="Y2" s="13">
        <v>26</v>
      </c>
      <c r="Z2" s="13" t="s">
        <v>297</v>
      </c>
      <c r="AA2" s="13" t="s">
        <v>351</v>
      </c>
      <c r="AB2" s="14">
        <v>45147</v>
      </c>
      <c r="AC2" s="13">
        <v>3941.97</v>
      </c>
      <c r="AD2" s="13" t="s">
        <v>317</v>
      </c>
      <c r="AE2" s="13" t="s">
        <v>352</v>
      </c>
    </row>
    <row r="3" spans="1:37" x14ac:dyDescent="0.3">
      <c r="A3" s="16" t="s">
        <v>5</v>
      </c>
      <c r="B3" s="16" t="s">
        <v>6</v>
      </c>
      <c r="C3" s="16" t="s">
        <v>7</v>
      </c>
      <c r="D3" s="17">
        <v>45086</v>
      </c>
      <c r="E3" s="18">
        <v>0.60416666666666663</v>
      </c>
      <c r="F3" s="16" t="s">
        <v>3</v>
      </c>
      <c r="G3" s="16" t="s">
        <v>8</v>
      </c>
      <c r="H3" s="16" t="s">
        <v>353</v>
      </c>
      <c r="I3" s="16" t="s">
        <v>354</v>
      </c>
      <c r="J3" s="16">
        <v>4158.4399999999996</v>
      </c>
      <c r="K3" s="17">
        <v>45086</v>
      </c>
      <c r="L3" s="16" t="s">
        <v>344</v>
      </c>
      <c r="M3" s="16" t="s">
        <v>355</v>
      </c>
      <c r="N3" s="16" t="s">
        <v>482</v>
      </c>
      <c r="O3" s="17">
        <v>29594</v>
      </c>
      <c r="P3" s="16">
        <v>8102183595</v>
      </c>
      <c r="Q3" s="16" t="s">
        <v>357</v>
      </c>
      <c r="R3" s="17">
        <v>44471</v>
      </c>
      <c r="S3" s="16" t="s">
        <v>358</v>
      </c>
      <c r="T3" s="16" t="s">
        <v>359</v>
      </c>
      <c r="U3" s="16" t="s">
        <v>360</v>
      </c>
      <c r="V3" s="16" t="s">
        <v>361</v>
      </c>
      <c r="W3" s="16" t="s">
        <v>310</v>
      </c>
      <c r="X3" s="16">
        <v>6594221991</v>
      </c>
      <c r="Y3" s="16">
        <v>28</v>
      </c>
      <c r="Z3" s="16" t="s">
        <v>297</v>
      </c>
      <c r="AA3" s="16" t="s">
        <v>362</v>
      </c>
      <c r="AB3" s="17">
        <v>45086</v>
      </c>
      <c r="AC3" s="16">
        <v>4158.4399999999996</v>
      </c>
      <c r="AD3" s="16" t="s">
        <v>317</v>
      </c>
      <c r="AE3" s="16" t="s">
        <v>363</v>
      </c>
      <c r="AG3" s="28" t="s">
        <v>484</v>
      </c>
      <c r="AH3" s="28"/>
      <c r="AJ3" s="28" t="s">
        <v>487</v>
      </c>
      <c r="AK3" s="28"/>
    </row>
    <row r="4" spans="1:37" x14ac:dyDescent="0.3">
      <c r="A4" s="13" t="s">
        <v>9</v>
      </c>
      <c r="B4" s="13" t="s">
        <v>10</v>
      </c>
      <c r="C4" s="13" t="s">
        <v>7</v>
      </c>
      <c r="D4" s="14">
        <v>45105</v>
      </c>
      <c r="E4" s="15">
        <v>0.33333333333333331</v>
      </c>
      <c r="F4" s="13" t="s">
        <v>11</v>
      </c>
      <c r="G4" s="13" t="s">
        <v>12</v>
      </c>
      <c r="H4" s="13" t="s">
        <v>353</v>
      </c>
      <c r="I4" s="13" t="s">
        <v>364</v>
      </c>
      <c r="J4" s="13">
        <v>3731.55</v>
      </c>
      <c r="K4" s="14">
        <v>45105</v>
      </c>
      <c r="L4" s="13" t="s">
        <v>365</v>
      </c>
      <c r="M4" s="13" t="s">
        <v>366</v>
      </c>
      <c r="N4" s="13" t="s">
        <v>482</v>
      </c>
      <c r="O4" s="14">
        <v>30399</v>
      </c>
      <c r="P4" s="13">
        <v>8720989381</v>
      </c>
      <c r="Q4" s="13" t="s">
        <v>357</v>
      </c>
      <c r="R4" s="14">
        <v>45096</v>
      </c>
      <c r="S4" s="13" t="s">
        <v>367</v>
      </c>
      <c r="T4" s="13" t="s">
        <v>368</v>
      </c>
      <c r="U4" s="13" t="s">
        <v>360</v>
      </c>
      <c r="V4" s="13" t="s">
        <v>361</v>
      </c>
      <c r="W4" s="13" t="s">
        <v>310</v>
      </c>
      <c r="X4" s="13">
        <v>6594221991</v>
      </c>
      <c r="Y4" s="13">
        <v>28</v>
      </c>
      <c r="Z4" s="13" t="s">
        <v>297</v>
      </c>
      <c r="AA4" s="13" t="s">
        <v>369</v>
      </c>
      <c r="AB4" s="14">
        <v>45105</v>
      </c>
      <c r="AC4" s="13">
        <v>3731.55</v>
      </c>
      <c r="AD4" s="13" t="s">
        <v>317</v>
      </c>
      <c r="AE4" s="13" t="s">
        <v>363</v>
      </c>
      <c r="AG4" s="19" t="s">
        <v>330</v>
      </c>
      <c r="AH4" s="11">
        <f>COUNTIF('clean data'!$AE$2:$AE$201,AE2)</f>
        <v>69</v>
      </c>
      <c r="AJ4" s="19" t="s">
        <v>485</v>
      </c>
      <c r="AK4" s="11">
        <f>SUMIFS(AC2:AC201,Z2:Z201,Z2)</f>
        <v>204578.95999999988</v>
      </c>
    </row>
    <row r="5" spans="1:37" x14ac:dyDescent="0.3">
      <c r="A5" s="16" t="s">
        <v>13</v>
      </c>
      <c r="B5" s="16" t="s">
        <v>14</v>
      </c>
      <c r="C5" s="16" t="s">
        <v>15</v>
      </c>
      <c r="D5" s="17">
        <v>45170</v>
      </c>
      <c r="E5" s="18">
        <v>0.38541666666666669</v>
      </c>
      <c r="F5" s="16" t="s">
        <v>11</v>
      </c>
      <c r="G5" s="16" t="s">
        <v>12</v>
      </c>
      <c r="H5" s="16" t="s">
        <v>353</v>
      </c>
      <c r="I5" s="16" t="s">
        <v>343</v>
      </c>
      <c r="J5" s="16">
        <v>4799.8599999999997</v>
      </c>
      <c r="K5" s="17">
        <v>45170</v>
      </c>
      <c r="L5" s="16" t="s">
        <v>370</v>
      </c>
      <c r="M5" s="16" t="s">
        <v>371</v>
      </c>
      <c r="N5" s="16" t="s">
        <v>482</v>
      </c>
      <c r="O5" s="17">
        <v>24333</v>
      </c>
      <c r="P5" s="16">
        <v>7482069727</v>
      </c>
      <c r="Q5" s="16" t="s">
        <v>357</v>
      </c>
      <c r="R5" s="17">
        <v>44448</v>
      </c>
      <c r="S5" s="16" t="s">
        <v>372</v>
      </c>
      <c r="T5" s="16" t="s">
        <v>373</v>
      </c>
      <c r="U5" s="16" t="s">
        <v>344</v>
      </c>
      <c r="V5" s="16" t="s">
        <v>374</v>
      </c>
      <c r="W5" s="16" t="s">
        <v>310</v>
      </c>
      <c r="X5" s="16">
        <v>6570137231</v>
      </c>
      <c r="Y5" s="16">
        <v>23</v>
      </c>
      <c r="Z5" s="16" t="s">
        <v>297</v>
      </c>
      <c r="AA5" s="16" t="s">
        <v>375</v>
      </c>
      <c r="AB5" s="17">
        <v>45170</v>
      </c>
      <c r="AC5" s="16">
        <v>4799.8599999999997</v>
      </c>
      <c r="AD5" s="16" t="s">
        <v>317</v>
      </c>
      <c r="AE5" s="16" t="s">
        <v>376</v>
      </c>
      <c r="AG5" s="19" t="s">
        <v>331</v>
      </c>
      <c r="AH5" s="11">
        <f>COUNTIF('clean data'!$AE$2:$AE$201,AE3)</f>
        <v>65</v>
      </c>
      <c r="AJ5" s="19" t="s">
        <v>486</v>
      </c>
      <c r="AK5" s="11">
        <f t="shared" ref="AK5" si="0">SUMIFS(AC3:AC202,Z3:Z202,Z3)</f>
        <v>200636.98999999987</v>
      </c>
    </row>
    <row r="6" spans="1:37" x14ac:dyDescent="0.3">
      <c r="A6" s="13" t="s">
        <v>16</v>
      </c>
      <c r="B6" s="13" t="s">
        <v>17</v>
      </c>
      <c r="C6" s="13" t="s">
        <v>18</v>
      </c>
      <c r="D6" s="14">
        <v>45113</v>
      </c>
      <c r="E6" s="15">
        <v>0.53125</v>
      </c>
      <c r="F6" s="13" t="s">
        <v>19</v>
      </c>
      <c r="G6" s="13" t="s">
        <v>8</v>
      </c>
      <c r="H6" s="13" t="s">
        <v>377</v>
      </c>
      <c r="I6" s="13" t="s">
        <v>364</v>
      </c>
      <c r="J6" s="13">
        <v>582.04999999999995</v>
      </c>
      <c r="K6" s="14">
        <v>45113</v>
      </c>
      <c r="L6" s="13" t="s">
        <v>365</v>
      </c>
      <c r="M6" s="13" t="s">
        <v>378</v>
      </c>
      <c r="N6" s="13" t="s">
        <v>482</v>
      </c>
      <c r="O6" s="14">
        <v>26449</v>
      </c>
      <c r="P6" s="13">
        <v>7587653815</v>
      </c>
      <c r="Q6" s="13" t="s">
        <v>379</v>
      </c>
      <c r="R6" s="14">
        <v>44485</v>
      </c>
      <c r="S6" s="13" t="s">
        <v>367</v>
      </c>
      <c r="T6" s="13" t="s">
        <v>380</v>
      </c>
      <c r="U6" s="13" t="s">
        <v>381</v>
      </c>
      <c r="V6" s="13" t="s">
        <v>345</v>
      </c>
      <c r="W6" s="13" t="s">
        <v>310</v>
      </c>
      <c r="X6" s="13">
        <v>8737740598</v>
      </c>
      <c r="Y6" s="13">
        <v>19</v>
      </c>
      <c r="Z6" s="13" t="s">
        <v>298</v>
      </c>
      <c r="AA6" s="13" t="s">
        <v>382</v>
      </c>
      <c r="AB6" s="14">
        <v>45113</v>
      </c>
      <c r="AC6" s="13">
        <v>582.04999999999995</v>
      </c>
      <c r="AD6" s="13" t="s">
        <v>316</v>
      </c>
      <c r="AE6" s="13" t="s">
        <v>352</v>
      </c>
      <c r="AG6" s="19" t="s">
        <v>483</v>
      </c>
      <c r="AH6" s="11">
        <f>COUNTIF('clean data'!$AE$2:$AE$201,AE4)</f>
        <v>65</v>
      </c>
      <c r="AJ6" s="19" t="s">
        <v>337</v>
      </c>
      <c r="AK6" s="11">
        <f>SUMIFS(AC4:AC203,Z4:Z203,Z4)</f>
        <v>196478.5499999999</v>
      </c>
    </row>
    <row r="7" spans="1:37" x14ac:dyDescent="0.3">
      <c r="A7" s="16" t="s">
        <v>20</v>
      </c>
      <c r="B7" s="16" t="s">
        <v>21</v>
      </c>
      <c r="C7" s="16" t="s">
        <v>15</v>
      </c>
      <c r="D7" s="17">
        <v>45096</v>
      </c>
      <c r="E7" s="18">
        <v>0.67708333333333337</v>
      </c>
      <c r="F7" s="16" t="s">
        <v>22</v>
      </c>
      <c r="G7" s="16" t="s">
        <v>4</v>
      </c>
      <c r="H7" s="16" t="s">
        <v>342</v>
      </c>
      <c r="I7" s="16" t="s">
        <v>364</v>
      </c>
      <c r="J7" s="16">
        <v>1381</v>
      </c>
      <c r="K7" s="17">
        <v>45096</v>
      </c>
      <c r="L7" s="16" t="s">
        <v>383</v>
      </c>
      <c r="M7" s="16" t="s">
        <v>366</v>
      </c>
      <c r="N7" s="16" t="s">
        <v>481</v>
      </c>
      <c r="O7" s="17">
        <v>24222</v>
      </c>
      <c r="P7" s="16">
        <v>7579616535</v>
      </c>
      <c r="Q7" s="16" t="s">
        <v>347</v>
      </c>
      <c r="R7" s="17">
        <v>44219</v>
      </c>
      <c r="S7" s="16" t="s">
        <v>358</v>
      </c>
      <c r="T7" s="16" t="s">
        <v>384</v>
      </c>
      <c r="U7" s="16" t="s">
        <v>344</v>
      </c>
      <c r="V7" s="16" t="s">
        <v>374</v>
      </c>
      <c r="W7" s="16" t="s">
        <v>310</v>
      </c>
      <c r="X7" s="16">
        <v>6570137231</v>
      </c>
      <c r="Y7" s="16">
        <v>23</v>
      </c>
      <c r="Z7" s="16" t="s">
        <v>297</v>
      </c>
      <c r="AA7" s="16" t="s">
        <v>385</v>
      </c>
      <c r="AB7" s="17">
        <v>45096</v>
      </c>
      <c r="AC7" s="16">
        <v>1381</v>
      </c>
      <c r="AD7" s="16" t="s">
        <v>317</v>
      </c>
      <c r="AE7" s="16" t="s">
        <v>352</v>
      </c>
    </row>
    <row r="8" spans="1:37" x14ac:dyDescent="0.3">
      <c r="A8" s="13" t="s">
        <v>23</v>
      </c>
      <c r="B8" s="13" t="s">
        <v>24</v>
      </c>
      <c r="C8" s="13" t="s">
        <v>25</v>
      </c>
      <c r="D8" s="14">
        <v>45025</v>
      </c>
      <c r="E8" s="15">
        <v>0.4375</v>
      </c>
      <c r="F8" s="13" t="s">
        <v>11</v>
      </c>
      <c r="G8" s="13" t="s">
        <v>4</v>
      </c>
      <c r="H8" s="13" t="s">
        <v>342</v>
      </c>
      <c r="I8" s="13" t="s">
        <v>354</v>
      </c>
      <c r="J8" s="13">
        <v>534.03</v>
      </c>
      <c r="K8" s="14">
        <v>45025</v>
      </c>
      <c r="L8" s="13" t="s">
        <v>360</v>
      </c>
      <c r="M8" s="13" t="s">
        <v>378</v>
      </c>
      <c r="N8" s="13" t="s">
        <v>481</v>
      </c>
      <c r="O8" s="14">
        <v>20244</v>
      </c>
      <c r="P8" s="13">
        <v>6939585183</v>
      </c>
      <c r="Q8" s="13" t="s">
        <v>386</v>
      </c>
      <c r="R8" s="14">
        <v>44735</v>
      </c>
      <c r="S8" s="13" t="s">
        <v>348</v>
      </c>
      <c r="T8" s="13" t="s">
        <v>387</v>
      </c>
      <c r="U8" s="13" t="s">
        <v>370</v>
      </c>
      <c r="V8" s="13" t="s">
        <v>374</v>
      </c>
      <c r="W8" s="13" t="s">
        <v>309</v>
      </c>
      <c r="X8" s="13">
        <v>8217493115</v>
      </c>
      <c r="Y8" s="13">
        <v>26</v>
      </c>
      <c r="Z8" s="13" t="s">
        <v>299</v>
      </c>
      <c r="AA8" s="13" t="s">
        <v>388</v>
      </c>
      <c r="AB8" s="14">
        <v>45025</v>
      </c>
      <c r="AC8" s="13">
        <v>534.03</v>
      </c>
      <c r="AD8" s="13" t="s">
        <v>311</v>
      </c>
      <c r="AE8" s="13" t="s">
        <v>376</v>
      </c>
    </row>
    <row r="9" spans="1:37" x14ac:dyDescent="0.3">
      <c r="A9" s="16" t="s">
        <v>26</v>
      </c>
      <c r="B9" s="16" t="s">
        <v>27</v>
      </c>
      <c r="C9" s="16" t="s">
        <v>28</v>
      </c>
      <c r="D9" s="17">
        <v>45070</v>
      </c>
      <c r="E9" s="18">
        <v>0.36458333333333331</v>
      </c>
      <c r="F9" s="16" t="s">
        <v>11</v>
      </c>
      <c r="G9" s="16" t="s">
        <v>12</v>
      </c>
      <c r="H9" s="16" t="s">
        <v>389</v>
      </c>
      <c r="I9" s="16" t="s">
        <v>343</v>
      </c>
      <c r="J9" s="16">
        <v>3413.64</v>
      </c>
      <c r="K9" s="17">
        <v>45070</v>
      </c>
      <c r="L9" s="16" t="s">
        <v>390</v>
      </c>
      <c r="M9" s="16" t="s">
        <v>391</v>
      </c>
      <c r="N9" s="16" t="s">
        <v>482</v>
      </c>
      <c r="O9" s="17">
        <v>36729</v>
      </c>
      <c r="P9" s="16">
        <v>7223380592</v>
      </c>
      <c r="Q9" s="16" t="s">
        <v>386</v>
      </c>
      <c r="R9" s="17">
        <v>44400</v>
      </c>
      <c r="S9" s="16" t="s">
        <v>367</v>
      </c>
      <c r="T9" s="16" t="s">
        <v>392</v>
      </c>
      <c r="U9" s="16" t="s">
        <v>383</v>
      </c>
      <c r="V9" s="16" t="s">
        <v>371</v>
      </c>
      <c r="W9" s="16" t="s">
        <v>309</v>
      </c>
      <c r="X9" s="16">
        <v>6176383634</v>
      </c>
      <c r="Y9" s="16">
        <v>21</v>
      </c>
      <c r="Z9" s="16" t="s">
        <v>298</v>
      </c>
      <c r="AA9" s="16" t="s">
        <v>393</v>
      </c>
      <c r="AB9" s="17">
        <v>45070</v>
      </c>
      <c r="AC9" s="16">
        <v>3413.64</v>
      </c>
      <c r="AD9" s="16" t="s">
        <v>311</v>
      </c>
      <c r="AE9" s="16" t="s">
        <v>376</v>
      </c>
      <c r="AG9" s="28" t="s">
        <v>488</v>
      </c>
      <c r="AH9" s="28"/>
    </row>
    <row r="10" spans="1:37" x14ac:dyDescent="0.3">
      <c r="A10" s="13" t="s">
        <v>29</v>
      </c>
      <c r="B10" s="13" t="s">
        <v>30</v>
      </c>
      <c r="C10" s="13" t="s">
        <v>28</v>
      </c>
      <c r="D10" s="14">
        <v>44990</v>
      </c>
      <c r="E10" s="15">
        <v>0.57291666666666663</v>
      </c>
      <c r="F10" s="13" t="s">
        <v>31</v>
      </c>
      <c r="G10" s="13" t="s">
        <v>4</v>
      </c>
      <c r="H10" s="13" t="s">
        <v>389</v>
      </c>
      <c r="I10" s="13" t="s">
        <v>364</v>
      </c>
      <c r="J10" s="13">
        <v>4541.1400000000003</v>
      </c>
      <c r="K10" s="14">
        <v>44990</v>
      </c>
      <c r="L10" s="13" t="s">
        <v>381</v>
      </c>
      <c r="M10" s="13" t="s">
        <v>371</v>
      </c>
      <c r="N10" s="13" t="s">
        <v>481</v>
      </c>
      <c r="O10" s="14">
        <v>18609</v>
      </c>
      <c r="P10" s="13">
        <v>9271131338</v>
      </c>
      <c r="Q10" s="13" t="s">
        <v>386</v>
      </c>
      <c r="R10" s="14">
        <v>44264</v>
      </c>
      <c r="S10" s="13" t="s">
        <v>367</v>
      </c>
      <c r="T10" s="13" t="s">
        <v>394</v>
      </c>
      <c r="U10" s="13" t="s">
        <v>383</v>
      </c>
      <c r="V10" s="13" t="s">
        <v>371</v>
      </c>
      <c r="W10" s="13" t="s">
        <v>309</v>
      </c>
      <c r="X10" s="13">
        <v>6176383634</v>
      </c>
      <c r="Y10" s="13">
        <v>21</v>
      </c>
      <c r="Z10" s="13" t="s">
        <v>298</v>
      </c>
      <c r="AA10" s="13" t="s">
        <v>395</v>
      </c>
      <c r="AB10" s="14">
        <v>44990</v>
      </c>
      <c r="AC10" s="13">
        <v>4541.1400000000003</v>
      </c>
      <c r="AD10" s="13" t="s">
        <v>316</v>
      </c>
      <c r="AE10" s="13" t="s">
        <v>363</v>
      </c>
      <c r="AG10" s="19" t="s">
        <v>310</v>
      </c>
      <c r="AH10" s="11">
        <f>AVERAGEIF(W2:W201,W2,J2:J201)</f>
        <v>2642.222755102041</v>
      </c>
    </row>
    <row r="11" spans="1:37" x14ac:dyDescent="0.3">
      <c r="A11" s="16" t="s">
        <v>32</v>
      </c>
      <c r="B11" s="16" t="s">
        <v>33</v>
      </c>
      <c r="C11" s="16" t="s">
        <v>18</v>
      </c>
      <c r="D11" s="17">
        <v>44939</v>
      </c>
      <c r="E11" s="18">
        <v>0.64583333333333337</v>
      </c>
      <c r="F11" s="16" t="s">
        <v>3</v>
      </c>
      <c r="G11" s="16" t="s">
        <v>34</v>
      </c>
      <c r="H11" s="16" t="s">
        <v>389</v>
      </c>
      <c r="I11" s="16" t="s">
        <v>364</v>
      </c>
      <c r="J11" s="16">
        <v>1595.67</v>
      </c>
      <c r="K11" s="17">
        <v>44939</v>
      </c>
      <c r="L11" s="16" t="s">
        <v>360</v>
      </c>
      <c r="M11" s="16" t="s">
        <v>371</v>
      </c>
      <c r="N11" s="16" t="s">
        <v>482</v>
      </c>
      <c r="O11" s="17">
        <v>22090</v>
      </c>
      <c r="P11" s="16">
        <v>7734463155</v>
      </c>
      <c r="Q11" s="16" t="s">
        <v>357</v>
      </c>
      <c r="R11" s="17">
        <v>44468</v>
      </c>
      <c r="S11" s="16" t="s">
        <v>358</v>
      </c>
      <c r="T11" s="16" t="s">
        <v>396</v>
      </c>
      <c r="U11" s="16" t="s">
        <v>381</v>
      </c>
      <c r="V11" s="16" t="s">
        <v>345</v>
      </c>
      <c r="W11" s="16" t="s">
        <v>310</v>
      </c>
      <c r="X11" s="16">
        <v>8737740598</v>
      </c>
      <c r="Y11" s="16">
        <v>19</v>
      </c>
      <c r="Z11" s="16" t="s">
        <v>298</v>
      </c>
      <c r="AA11" s="16" t="s">
        <v>397</v>
      </c>
      <c r="AB11" s="17">
        <v>44939</v>
      </c>
      <c r="AC11" s="16">
        <v>1595.67</v>
      </c>
      <c r="AD11" s="16" t="s">
        <v>311</v>
      </c>
      <c r="AE11" s="16" t="s">
        <v>363</v>
      </c>
      <c r="AG11" s="19" t="s">
        <v>309</v>
      </c>
      <c r="AH11" s="11">
        <f>AVERAGEIF(W3:W202,W3,J2:J202)</f>
        <v>2748.8737113402062</v>
      </c>
    </row>
    <row r="12" spans="1:37" x14ac:dyDescent="0.3">
      <c r="A12" s="13" t="s">
        <v>35</v>
      </c>
      <c r="B12" s="13" t="s">
        <v>36</v>
      </c>
      <c r="C12" s="13" t="s">
        <v>25</v>
      </c>
      <c r="D12" s="14">
        <v>45242</v>
      </c>
      <c r="E12" s="15">
        <v>0.66666666666666663</v>
      </c>
      <c r="F12" s="13" t="s">
        <v>22</v>
      </c>
      <c r="G12" s="13" t="s">
        <v>8</v>
      </c>
      <c r="H12" s="13" t="s">
        <v>353</v>
      </c>
      <c r="I12" s="13" t="s">
        <v>343</v>
      </c>
      <c r="J12" s="13">
        <v>4671.66</v>
      </c>
      <c r="K12" s="14">
        <v>45242</v>
      </c>
      <c r="L12" s="13" t="s">
        <v>398</v>
      </c>
      <c r="M12" s="13" t="s">
        <v>399</v>
      </c>
      <c r="N12" s="13" t="s">
        <v>482</v>
      </c>
      <c r="O12" s="14">
        <v>20219</v>
      </c>
      <c r="P12" s="13">
        <v>6221099573</v>
      </c>
      <c r="Q12" s="13" t="s">
        <v>347</v>
      </c>
      <c r="R12" s="14">
        <v>44327</v>
      </c>
      <c r="S12" s="13" t="s">
        <v>358</v>
      </c>
      <c r="T12" s="13" t="s">
        <v>400</v>
      </c>
      <c r="U12" s="13" t="s">
        <v>370</v>
      </c>
      <c r="V12" s="13" t="s">
        <v>374</v>
      </c>
      <c r="W12" s="13" t="s">
        <v>309</v>
      </c>
      <c r="X12" s="13">
        <v>8217493115</v>
      </c>
      <c r="Y12" s="13">
        <v>26</v>
      </c>
      <c r="Z12" s="13" t="s">
        <v>299</v>
      </c>
      <c r="AA12" s="13" t="s">
        <v>401</v>
      </c>
      <c r="AB12" s="14">
        <v>45242</v>
      </c>
      <c r="AC12" s="13">
        <v>4671.66</v>
      </c>
      <c r="AD12" s="13" t="s">
        <v>311</v>
      </c>
      <c r="AE12" s="13" t="s">
        <v>376</v>
      </c>
      <c r="AG12" s="19" t="s">
        <v>308</v>
      </c>
      <c r="AH12" s="11">
        <f t="shared" ref="AH12" si="1">AVERAGEIF(W4:W203,W4,J4:J203)</f>
        <v>2612.8897916666665</v>
      </c>
    </row>
    <row r="13" spans="1:37" x14ac:dyDescent="0.3">
      <c r="A13" s="16" t="s">
        <v>37</v>
      </c>
      <c r="B13" s="16" t="s">
        <v>38</v>
      </c>
      <c r="C13" s="16" t="s">
        <v>18</v>
      </c>
      <c r="D13" s="17">
        <v>45053</v>
      </c>
      <c r="E13" s="18">
        <v>0.41666666666666669</v>
      </c>
      <c r="F13" s="16" t="s">
        <v>31</v>
      </c>
      <c r="G13" s="16" t="s">
        <v>34</v>
      </c>
      <c r="H13" s="16" t="s">
        <v>342</v>
      </c>
      <c r="I13" s="16" t="s">
        <v>364</v>
      </c>
      <c r="J13" s="16">
        <v>771.2</v>
      </c>
      <c r="K13" s="17">
        <v>45053</v>
      </c>
      <c r="L13" s="16" t="s">
        <v>360</v>
      </c>
      <c r="M13" s="16" t="s">
        <v>345</v>
      </c>
      <c r="N13" s="16" t="s">
        <v>482</v>
      </c>
      <c r="O13" s="17">
        <v>38487</v>
      </c>
      <c r="P13" s="16">
        <v>8923607677</v>
      </c>
      <c r="Q13" s="16" t="s">
        <v>386</v>
      </c>
      <c r="R13" s="17">
        <v>45035</v>
      </c>
      <c r="S13" s="16" t="s">
        <v>372</v>
      </c>
      <c r="T13" s="16" t="s">
        <v>402</v>
      </c>
      <c r="U13" s="16" t="s">
        <v>381</v>
      </c>
      <c r="V13" s="16" t="s">
        <v>345</v>
      </c>
      <c r="W13" s="16" t="s">
        <v>310</v>
      </c>
      <c r="X13" s="16">
        <v>8737740598</v>
      </c>
      <c r="Y13" s="16">
        <v>19</v>
      </c>
      <c r="Z13" s="16" t="s">
        <v>298</v>
      </c>
      <c r="AA13" s="16" t="s">
        <v>403</v>
      </c>
      <c r="AB13" s="17">
        <v>45053</v>
      </c>
      <c r="AC13" s="16">
        <v>771.2</v>
      </c>
      <c r="AD13" s="16" t="s">
        <v>317</v>
      </c>
      <c r="AE13" s="16" t="s">
        <v>352</v>
      </c>
    </row>
    <row r="14" spans="1:37" x14ac:dyDescent="0.3">
      <c r="A14" s="13" t="s">
        <v>39</v>
      </c>
      <c r="B14" s="13" t="s">
        <v>40</v>
      </c>
      <c r="C14" s="13" t="s">
        <v>41</v>
      </c>
      <c r="D14" s="14">
        <v>45154</v>
      </c>
      <c r="E14" s="15">
        <v>0.5</v>
      </c>
      <c r="F14" s="13" t="s">
        <v>19</v>
      </c>
      <c r="G14" s="13" t="s">
        <v>4</v>
      </c>
      <c r="H14" s="13" t="s">
        <v>353</v>
      </c>
      <c r="I14" s="13" t="s">
        <v>364</v>
      </c>
      <c r="J14" s="13">
        <v>4704.96</v>
      </c>
      <c r="K14" s="14">
        <v>45154</v>
      </c>
      <c r="L14" s="13" t="s">
        <v>404</v>
      </c>
      <c r="M14" s="13" t="s">
        <v>361</v>
      </c>
      <c r="N14" s="13" t="s">
        <v>482</v>
      </c>
      <c r="O14" s="14">
        <v>28358</v>
      </c>
      <c r="P14" s="13">
        <v>8397029847</v>
      </c>
      <c r="Q14" s="13" t="s">
        <v>347</v>
      </c>
      <c r="R14" s="14">
        <v>44599</v>
      </c>
      <c r="S14" s="13" t="s">
        <v>367</v>
      </c>
      <c r="T14" s="13" t="s">
        <v>405</v>
      </c>
      <c r="U14" s="13" t="s">
        <v>381</v>
      </c>
      <c r="V14" s="13" t="s">
        <v>374</v>
      </c>
      <c r="W14" s="13" t="s">
        <v>310</v>
      </c>
      <c r="X14" s="13">
        <v>9004382050</v>
      </c>
      <c r="Y14" s="13">
        <v>24</v>
      </c>
      <c r="Z14" s="13" t="s">
        <v>298</v>
      </c>
      <c r="AA14" s="13" t="s">
        <v>406</v>
      </c>
      <c r="AB14" s="14">
        <v>45154</v>
      </c>
      <c r="AC14" s="13">
        <v>4704.96</v>
      </c>
      <c r="AD14" s="13" t="s">
        <v>311</v>
      </c>
      <c r="AE14" s="13" t="s">
        <v>363</v>
      </c>
    </row>
    <row r="15" spans="1:37" x14ac:dyDescent="0.3">
      <c r="A15" s="16" t="s">
        <v>42</v>
      </c>
      <c r="B15" s="16" t="s">
        <v>43</v>
      </c>
      <c r="C15" s="16" t="s">
        <v>28</v>
      </c>
      <c r="D15" s="17">
        <v>45071</v>
      </c>
      <c r="E15" s="18">
        <v>0.4375</v>
      </c>
      <c r="F15" s="16" t="s">
        <v>19</v>
      </c>
      <c r="G15" s="16" t="s">
        <v>12</v>
      </c>
      <c r="H15" s="16" t="s">
        <v>377</v>
      </c>
      <c r="I15" s="16" t="s">
        <v>343</v>
      </c>
      <c r="J15" s="16">
        <v>2082.3000000000002</v>
      </c>
      <c r="K15" s="17">
        <v>45071</v>
      </c>
      <c r="L15" s="16" t="s">
        <v>404</v>
      </c>
      <c r="M15" s="16" t="s">
        <v>374</v>
      </c>
      <c r="N15" s="16" t="s">
        <v>481</v>
      </c>
      <c r="O15" s="17">
        <v>33580</v>
      </c>
      <c r="P15" s="16">
        <v>8135666049</v>
      </c>
      <c r="Q15" s="16" t="s">
        <v>347</v>
      </c>
      <c r="R15" s="17">
        <v>45043</v>
      </c>
      <c r="S15" s="16" t="s">
        <v>358</v>
      </c>
      <c r="T15" s="16" t="s">
        <v>407</v>
      </c>
      <c r="U15" s="16" t="s">
        <v>383</v>
      </c>
      <c r="V15" s="16" t="s">
        <v>371</v>
      </c>
      <c r="W15" s="16" t="s">
        <v>309</v>
      </c>
      <c r="X15" s="16">
        <v>6176383634</v>
      </c>
      <c r="Y15" s="16">
        <v>21</v>
      </c>
      <c r="Z15" s="16" t="s">
        <v>298</v>
      </c>
      <c r="AA15" s="16" t="s">
        <v>408</v>
      </c>
      <c r="AB15" s="17">
        <v>45071</v>
      </c>
      <c r="AC15" s="16">
        <v>2082.3000000000002</v>
      </c>
      <c r="AD15" s="16" t="s">
        <v>316</v>
      </c>
      <c r="AE15" s="16" t="s">
        <v>363</v>
      </c>
    </row>
    <row r="16" spans="1:37" x14ac:dyDescent="0.3">
      <c r="A16" s="13" t="s">
        <v>44</v>
      </c>
      <c r="B16" s="13" t="s">
        <v>45</v>
      </c>
      <c r="C16" s="13" t="s">
        <v>7</v>
      </c>
      <c r="D16" s="14">
        <v>44941</v>
      </c>
      <c r="E16" s="15">
        <v>0.71875</v>
      </c>
      <c r="F16" s="13" t="s">
        <v>11</v>
      </c>
      <c r="G16" s="13" t="s">
        <v>8</v>
      </c>
      <c r="H16" s="13" t="s">
        <v>389</v>
      </c>
      <c r="I16" s="13" t="s">
        <v>343</v>
      </c>
      <c r="J16" s="13">
        <v>956.39</v>
      </c>
      <c r="K16" s="14">
        <v>44941</v>
      </c>
      <c r="L16" s="13" t="s">
        <v>398</v>
      </c>
      <c r="M16" s="13" t="s">
        <v>391</v>
      </c>
      <c r="N16" s="13" t="s">
        <v>482</v>
      </c>
      <c r="O16" s="14">
        <v>37953</v>
      </c>
      <c r="P16" s="13">
        <v>9900972256</v>
      </c>
      <c r="Q16" s="13" t="s">
        <v>357</v>
      </c>
      <c r="R16" s="14">
        <v>44329</v>
      </c>
      <c r="S16" s="13" t="s">
        <v>358</v>
      </c>
      <c r="T16" s="13" t="s">
        <v>409</v>
      </c>
      <c r="U16" s="13" t="s">
        <v>360</v>
      </c>
      <c r="V16" s="13" t="s">
        <v>361</v>
      </c>
      <c r="W16" s="13" t="s">
        <v>310</v>
      </c>
      <c r="X16" s="13">
        <v>6594221991</v>
      </c>
      <c r="Y16" s="13">
        <v>28</v>
      </c>
      <c r="Z16" s="13" t="s">
        <v>297</v>
      </c>
      <c r="AA16" s="13" t="s">
        <v>410</v>
      </c>
      <c r="AB16" s="14">
        <v>44941</v>
      </c>
      <c r="AC16" s="13">
        <v>956.39</v>
      </c>
      <c r="AD16" s="13" t="s">
        <v>317</v>
      </c>
      <c r="AE16" s="13" t="s">
        <v>352</v>
      </c>
    </row>
    <row r="17" spans="1:31" x14ac:dyDescent="0.3">
      <c r="A17" s="16" t="s">
        <v>46</v>
      </c>
      <c r="B17" s="16" t="s">
        <v>27</v>
      </c>
      <c r="C17" s="16" t="s">
        <v>47</v>
      </c>
      <c r="D17" s="17">
        <v>45107</v>
      </c>
      <c r="E17" s="18">
        <v>0.45833333333333331</v>
      </c>
      <c r="F17" s="16" t="s">
        <v>11</v>
      </c>
      <c r="G17" s="16" t="s">
        <v>4</v>
      </c>
      <c r="H17" s="16" t="s">
        <v>353</v>
      </c>
      <c r="I17" s="16" t="s">
        <v>343</v>
      </c>
      <c r="J17" s="16">
        <v>2686.42</v>
      </c>
      <c r="K17" s="17">
        <v>45107</v>
      </c>
      <c r="L17" s="16" t="s">
        <v>390</v>
      </c>
      <c r="M17" s="16" t="s">
        <v>391</v>
      </c>
      <c r="N17" s="16" t="s">
        <v>482</v>
      </c>
      <c r="O17" s="17">
        <v>36729</v>
      </c>
      <c r="P17" s="16">
        <v>7223380592</v>
      </c>
      <c r="Q17" s="16" t="s">
        <v>386</v>
      </c>
      <c r="R17" s="17">
        <v>44400</v>
      </c>
      <c r="S17" s="16" t="s">
        <v>367</v>
      </c>
      <c r="T17" s="16" t="s">
        <v>392</v>
      </c>
      <c r="U17" s="16" t="s">
        <v>383</v>
      </c>
      <c r="V17" s="16" t="s">
        <v>399</v>
      </c>
      <c r="W17" s="16" t="s">
        <v>308</v>
      </c>
      <c r="X17" s="16">
        <v>9069162601</v>
      </c>
      <c r="Y17" s="16">
        <v>5</v>
      </c>
      <c r="Z17" s="16" t="s">
        <v>299</v>
      </c>
      <c r="AA17" s="16" t="s">
        <v>393</v>
      </c>
      <c r="AB17" s="17">
        <v>45070</v>
      </c>
      <c r="AC17" s="16">
        <v>3413.64</v>
      </c>
      <c r="AD17" s="16" t="s">
        <v>311</v>
      </c>
      <c r="AE17" s="16" t="s">
        <v>376</v>
      </c>
    </row>
    <row r="18" spans="1:31" x14ac:dyDescent="0.3">
      <c r="A18" s="13" t="s">
        <v>48</v>
      </c>
      <c r="B18" s="13" t="s">
        <v>49</v>
      </c>
      <c r="C18" s="13" t="s">
        <v>2</v>
      </c>
      <c r="D18" s="14">
        <v>45118</v>
      </c>
      <c r="E18" s="15">
        <v>0.70833333333333337</v>
      </c>
      <c r="F18" s="13" t="s">
        <v>19</v>
      </c>
      <c r="G18" s="13" t="s">
        <v>4</v>
      </c>
      <c r="H18" s="13" t="s">
        <v>353</v>
      </c>
      <c r="I18" s="13" t="s">
        <v>343</v>
      </c>
      <c r="J18" s="13">
        <v>1655.49</v>
      </c>
      <c r="K18" s="14">
        <v>45118</v>
      </c>
      <c r="L18" s="13" t="s">
        <v>370</v>
      </c>
      <c r="M18" s="13" t="s">
        <v>378</v>
      </c>
      <c r="N18" s="13" t="s">
        <v>482</v>
      </c>
      <c r="O18" s="14">
        <v>36196</v>
      </c>
      <c r="P18" s="13">
        <v>8886800195</v>
      </c>
      <c r="Q18" s="13" t="s">
        <v>379</v>
      </c>
      <c r="R18" s="14">
        <v>44469</v>
      </c>
      <c r="S18" s="13" t="s">
        <v>372</v>
      </c>
      <c r="T18" s="13" t="s">
        <v>411</v>
      </c>
      <c r="U18" s="13" t="s">
        <v>350</v>
      </c>
      <c r="V18" s="13" t="s">
        <v>345</v>
      </c>
      <c r="W18" s="13" t="s">
        <v>310</v>
      </c>
      <c r="X18" s="13">
        <v>7387087517</v>
      </c>
      <c r="Y18" s="13">
        <v>26</v>
      </c>
      <c r="Z18" s="13" t="s">
        <v>297</v>
      </c>
      <c r="AA18" s="13" t="s">
        <v>412</v>
      </c>
      <c r="AB18" s="14">
        <v>45118</v>
      </c>
      <c r="AC18" s="13">
        <v>1655.49</v>
      </c>
      <c r="AD18" s="13" t="s">
        <v>316</v>
      </c>
      <c r="AE18" s="13" t="s">
        <v>352</v>
      </c>
    </row>
    <row r="19" spans="1:31" x14ac:dyDescent="0.3">
      <c r="A19" s="16" t="s">
        <v>50</v>
      </c>
      <c r="B19" s="16" t="s">
        <v>36</v>
      </c>
      <c r="C19" s="16" t="s">
        <v>25</v>
      </c>
      <c r="D19" s="17">
        <v>45244</v>
      </c>
      <c r="E19" s="18">
        <v>0.40625</v>
      </c>
      <c r="F19" s="16" t="s">
        <v>11</v>
      </c>
      <c r="G19" s="16" t="s">
        <v>12</v>
      </c>
      <c r="H19" s="16" t="s">
        <v>377</v>
      </c>
      <c r="I19" s="16" t="s">
        <v>354</v>
      </c>
      <c r="J19" s="16">
        <v>1781.93</v>
      </c>
      <c r="K19" s="17">
        <v>45244</v>
      </c>
      <c r="L19" s="16" t="s">
        <v>398</v>
      </c>
      <c r="M19" s="16" t="s">
        <v>399</v>
      </c>
      <c r="N19" s="16" t="s">
        <v>482</v>
      </c>
      <c r="O19" s="17">
        <v>20219</v>
      </c>
      <c r="P19" s="16">
        <v>6221099573</v>
      </c>
      <c r="Q19" s="16" t="s">
        <v>347</v>
      </c>
      <c r="R19" s="17">
        <v>44327</v>
      </c>
      <c r="S19" s="16" t="s">
        <v>358</v>
      </c>
      <c r="T19" s="16" t="s">
        <v>400</v>
      </c>
      <c r="U19" s="16" t="s">
        <v>370</v>
      </c>
      <c r="V19" s="16" t="s">
        <v>374</v>
      </c>
      <c r="W19" s="16" t="s">
        <v>309</v>
      </c>
      <c r="X19" s="16">
        <v>8217493115</v>
      </c>
      <c r="Y19" s="16">
        <v>26</v>
      </c>
      <c r="Z19" s="16" t="s">
        <v>299</v>
      </c>
      <c r="AA19" s="16" t="s">
        <v>401</v>
      </c>
      <c r="AB19" s="17">
        <v>45242</v>
      </c>
      <c r="AC19" s="16">
        <v>4671.66</v>
      </c>
      <c r="AD19" s="16" t="s">
        <v>311</v>
      </c>
      <c r="AE19" s="16" t="s">
        <v>376</v>
      </c>
    </row>
    <row r="20" spans="1:31" x14ac:dyDescent="0.3">
      <c r="A20" s="13" t="s">
        <v>51</v>
      </c>
      <c r="B20" s="13" t="s">
        <v>38</v>
      </c>
      <c r="C20" s="13" t="s">
        <v>52</v>
      </c>
      <c r="D20" s="14">
        <v>44963</v>
      </c>
      <c r="E20" s="15">
        <v>0.64583333333333337</v>
      </c>
      <c r="F20" s="13" t="s">
        <v>22</v>
      </c>
      <c r="G20" s="13" t="s">
        <v>12</v>
      </c>
      <c r="H20" s="13" t="s">
        <v>413</v>
      </c>
      <c r="I20" s="13" t="s">
        <v>343</v>
      </c>
      <c r="J20" s="13">
        <v>1882.8</v>
      </c>
      <c r="K20" s="14">
        <v>44963</v>
      </c>
      <c r="L20" s="13" t="s">
        <v>360</v>
      </c>
      <c r="M20" s="13" t="s">
        <v>345</v>
      </c>
      <c r="N20" s="13" t="s">
        <v>482</v>
      </c>
      <c r="O20" s="14">
        <v>38487</v>
      </c>
      <c r="P20" s="13">
        <v>8923607677</v>
      </c>
      <c r="Q20" s="13" t="s">
        <v>386</v>
      </c>
      <c r="R20" s="14">
        <v>45035</v>
      </c>
      <c r="S20" s="13" t="s">
        <v>372</v>
      </c>
      <c r="T20" s="13" t="s">
        <v>402</v>
      </c>
      <c r="U20" s="13" t="s">
        <v>360</v>
      </c>
      <c r="V20" s="13" t="s">
        <v>391</v>
      </c>
      <c r="W20" s="13" t="s">
        <v>308</v>
      </c>
      <c r="X20" s="13">
        <v>8322010158</v>
      </c>
      <c r="Y20" s="13">
        <v>17</v>
      </c>
      <c r="Z20" s="13" t="s">
        <v>299</v>
      </c>
      <c r="AA20" s="13" t="s">
        <v>403</v>
      </c>
      <c r="AB20" s="14">
        <v>45053</v>
      </c>
      <c r="AC20" s="13">
        <v>771.2</v>
      </c>
      <c r="AD20" s="13" t="s">
        <v>317</v>
      </c>
      <c r="AE20" s="13" t="s">
        <v>352</v>
      </c>
    </row>
    <row r="21" spans="1:31" x14ac:dyDescent="0.3">
      <c r="A21" s="16" t="s">
        <v>53</v>
      </c>
      <c r="B21" s="16" t="s">
        <v>54</v>
      </c>
      <c r="C21" s="16" t="s">
        <v>18</v>
      </c>
      <c r="D21" s="17">
        <v>45265</v>
      </c>
      <c r="E21" s="18">
        <v>0.63541666666666663</v>
      </c>
      <c r="F21" s="16" t="s">
        <v>11</v>
      </c>
      <c r="G21" s="16" t="s">
        <v>34</v>
      </c>
      <c r="H21" s="16" t="s">
        <v>342</v>
      </c>
      <c r="I21" s="16" t="s">
        <v>354</v>
      </c>
      <c r="J21" s="16">
        <v>4113.62</v>
      </c>
      <c r="K21" s="17">
        <v>45265</v>
      </c>
      <c r="L21" s="16" t="s">
        <v>344</v>
      </c>
      <c r="M21" s="16" t="s">
        <v>391</v>
      </c>
      <c r="N21" s="16" t="s">
        <v>482</v>
      </c>
      <c r="O21" s="17">
        <v>24895</v>
      </c>
      <c r="P21" s="16">
        <v>7292262512</v>
      </c>
      <c r="Q21" s="16" t="s">
        <v>386</v>
      </c>
      <c r="R21" s="17">
        <v>45272</v>
      </c>
      <c r="S21" s="16" t="s">
        <v>358</v>
      </c>
      <c r="T21" s="16" t="s">
        <v>414</v>
      </c>
      <c r="U21" s="16" t="s">
        <v>381</v>
      </c>
      <c r="V21" s="16" t="s">
        <v>345</v>
      </c>
      <c r="W21" s="16" t="s">
        <v>310</v>
      </c>
      <c r="X21" s="16">
        <v>8737740598</v>
      </c>
      <c r="Y21" s="16">
        <v>19</v>
      </c>
      <c r="Z21" s="16" t="s">
        <v>298</v>
      </c>
      <c r="AA21" s="16" t="s">
        <v>415</v>
      </c>
      <c r="AB21" s="17">
        <v>45265</v>
      </c>
      <c r="AC21" s="16">
        <v>4113.62</v>
      </c>
      <c r="AD21" s="16" t="s">
        <v>316</v>
      </c>
      <c r="AE21" s="16" t="s">
        <v>376</v>
      </c>
    </row>
    <row r="22" spans="1:31" x14ac:dyDescent="0.3">
      <c r="A22" s="13" t="s">
        <v>55</v>
      </c>
      <c r="B22" s="13" t="s">
        <v>56</v>
      </c>
      <c r="C22" s="13" t="s">
        <v>2</v>
      </c>
      <c r="D22" s="14">
        <v>45040</v>
      </c>
      <c r="E22" s="15">
        <v>0.41666666666666669</v>
      </c>
      <c r="F22" s="13" t="s">
        <v>3</v>
      </c>
      <c r="G22" s="13" t="s">
        <v>8</v>
      </c>
      <c r="H22" s="13" t="s">
        <v>413</v>
      </c>
      <c r="I22" s="13" t="s">
        <v>354</v>
      </c>
      <c r="J22" s="13">
        <v>2926.23</v>
      </c>
      <c r="K22" s="14">
        <v>45040</v>
      </c>
      <c r="L22" s="13" t="s">
        <v>344</v>
      </c>
      <c r="M22" s="13" t="s">
        <v>355</v>
      </c>
      <c r="N22" s="13" t="s">
        <v>482</v>
      </c>
      <c r="O22" s="14">
        <v>34072</v>
      </c>
      <c r="P22" s="13">
        <v>7028910482</v>
      </c>
      <c r="Q22" s="13" t="s">
        <v>347</v>
      </c>
      <c r="R22" s="14">
        <v>45066</v>
      </c>
      <c r="S22" s="13" t="s">
        <v>358</v>
      </c>
      <c r="T22" s="13" t="s">
        <v>416</v>
      </c>
      <c r="U22" s="13" t="s">
        <v>350</v>
      </c>
      <c r="V22" s="13" t="s">
        <v>345</v>
      </c>
      <c r="W22" s="13" t="s">
        <v>310</v>
      </c>
      <c r="X22" s="13">
        <v>7387087517</v>
      </c>
      <c r="Y22" s="13">
        <v>26</v>
      </c>
      <c r="Z22" s="13" t="s">
        <v>297</v>
      </c>
      <c r="AA22" s="13" t="s">
        <v>417</v>
      </c>
      <c r="AB22" s="14">
        <v>45040</v>
      </c>
      <c r="AC22" s="13">
        <v>2926.23</v>
      </c>
      <c r="AD22" s="13" t="s">
        <v>317</v>
      </c>
      <c r="AE22" s="13" t="s">
        <v>376</v>
      </c>
    </row>
    <row r="23" spans="1:31" x14ac:dyDescent="0.3">
      <c r="A23" s="16" t="s">
        <v>57</v>
      </c>
      <c r="B23" s="16" t="s">
        <v>33</v>
      </c>
      <c r="C23" s="16" t="s">
        <v>52</v>
      </c>
      <c r="D23" s="17">
        <v>45244</v>
      </c>
      <c r="E23" s="18">
        <v>0.54166666666666663</v>
      </c>
      <c r="F23" s="16" t="s">
        <v>11</v>
      </c>
      <c r="G23" s="16" t="s">
        <v>8</v>
      </c>
      <c r="H23" s="16" t="s">
        <v>389</v>
      </c>
      <c r="I23" s="16" t="s">
        <v>354</v>
      </c>
      <c r="J23" s="16">
        <v>1900.88</v>
      </c>
      <c r="K23" s="17">
        <v>45244</v>
      </c>
      <c r="L23" s="16" t="s">
        <v>360</v>
      </c>
      <c r="M23" s="16" t="s">
        <v>371</v>
      </c>
      <c r="N23" s="16" t="s">
        <v>482</v>
      </c>
      <c r="O23" s="17">
        <v>22090</v>
      </c>
      <c r="P23" s="16">
        <v>7734463155</v>
      </c>
      <c r="Q23" s="16" t="s">
        <v>357</v>
      </c>
      <c r="R23" s="17">
        <v>44468</v>
      </c>
      <c r="S23" s="16" t="s">
        <v>358</v>
      </c>
      <c r="T23" s="16" t="s">
        <v>396</v>
      </c>
      <c r="U23" s="16" t="s">
        <v>360</v>
      </c>
      <c r="V23" s="16" t="s">
        <v>391</v>
      </c>
      <c r="W23" s="16" t="s">
        <v>308</v>
      </c>
      <c r="X23" s="16">
        <v>8322010158</v>
      </c>
      <c r="Y23" s="16">
        <v>17</v>
      </c>
      <c r="Z23" s="16" t="s">
        <v>299</v>
      </c>
      <c r="AA23" s="16" t="s">
        <v>397</v>
      </c>
      <c r="AB23" s="17">
        <v>44939</v>
      </c>
      <c r="AC23" s="16">
        <v>1595.67</v>
      </c>
      <c r="AD23" s="16" t="s">
        <v>311</v>
      </c>
      <c r="AE23" s="16" t="s">
        <v>363</v>
      </c>
    </row>
    <row r="24" spans="1:31" x14ac:dyDescent="0.3">
      <c r="A24" s="13" t="s">
        <v>58</v>
      </c>
      <c r="B24" s="13" t="s">
        <v>59</v>
      </c>
      <c r="C24" s="13" t="s">
        <v>2</v>
      </c>
      <c r="D24" s="14">
        <v>45055</v>
      </c>
      <c r="E24" s="15">
        <v>0.60416666666666663</v>
      </c>
      <c r="F24" s="13" t="s">
        <v>31</v>
      </c>
      <c r="G24" s="13" t="s">
        <v>12</v>
      </c>
      <c r="H24" s="13" t="s">
        <v>353</v>
      </c>
      <c r="I24" s="13" t="s">
        <v>364</v>
      </c>
      <c r="J24" s="13">
        <v>3246.5</v>
      </c>
      <c r="K24" s="14">
        <v>45055</v>
      </c>
      <c r="L24" s="13" t="s">
        <v>381</v>
      </c>
      <c r="M24" s="13" t="s">
        <v>355</v>
      </c>
      <c r="N24" s="13" t="s">
        <v>482</v>
      </c>
      <c r="O24" s="14">
        <v>35046</v>
      </c>
      <c r="P24" s="13">
        <v>8715732851</v>
      </c>
      <c r="Q24" s="13" t="s">
        <v>347</v>
      </c>
      <c r="R24" s="14">
        <v>44701</v>
      </c>
      <c r="S24" s="13" t="s">
        <v>348</v>
      </c>
      <c r="T24" s="13" t="s">
        <v>418</v>
      </c>
      <c r="U24" s="13" t="s">
        <v>350</v>
      </c>
      <c r="V24" s="13" t="s">
        <v>345</v>
      </c>
      <c r="W24" s="13" t="s">
        <v>310</v>
      </c>
      <c r="X24" s="13">
        <v>7387087517</v>
      </c>
      <c r="Y24" s="13">
        <v>26</v>
      </c>
      <c r="Z24" s="13" t="s">
        <v>297</v>
      </c>
      <c r="AA24" s="13" t="s">
        <v>419</v>
      </c>
      <c r="AB24" s="14">
        <v>45055</v>
      </c>
      <c r="AC24" s="13">
        <v>3246.5</v>
      </c>
      <c r="AD24" s="13" t="s">
        <v>316</v>
      </c>
      <c r="AE24" s="13" t="s">
        <v>352</v>
      </c>
    </row>
    <row r="25" spans="1:31" x14ac:dyDescent="0.3">
      <c r="A25" s="16" t="s">
        <v>60</v>
      </c>
      <c r="B25" s="16" t="s">
        <v>61</v>
      </c>
      <c r="C25" s="16" t="s">
        <v>47</v>
      </c>
      <c r="D25" s="17">
        <v>45098</v>
      </c>
      <c r="E25" s="18">
        <v>0.33333333333333331</v>
      </c>
      <c r="F25" s="16" t="s">
        <v>22</v>
      </c>
      <c r="G25" s="16" t="s">
        <v>34</v>
      </c>
      <c r="H25" s="16" t="s">
        <v>377</v>
      </c>
      <c r="I25" s="16" t="s">
        <v>354</v>
      </c>
      <c r="J25" s="16">
        <v>3722.68</v>
      </c>
      <c r="K25" s="17">
        <v>45098</v>
      </c>
      <c r="L25" s="16" t="s">
        <v>360</v>
      </c>
      <c r="M25" s="16" t="s">
        <v>355</v>
      </c>
      <c r="N25" s="16" t="s">
        <v>482</v>
      </c>
      <c r="O25" s="17">
        <v>26629</v>
      </c>
      <c r="P25" s="16">
        <v>7712937941</v>
      </c>
      <c r="Q25" s="16" t="s">
        <v>347</v>
      </c>
      <c r="R25" s="17">
        <v>45091</v>
      </c>
      <c r="S25" s="16" t="s">
        <v>358</v>
      </c>
      <c r="T25" s="16" t="s">
        <v>420</v>
      </c>
      <c r="U25" s="16" t="s">
        <v>383</v>
      </c>
      <c r="V25" s="16" t="s">
        <v>399</v>
      </c>
      <c r="W25" s="16" t="s">
        <v>308</v>
      </c>
      <c r="X25" s="16">
        <v>9069162601</v>
      </c>
      <c r="Y25" s="16">
        <v>5</v>
      </c>
      <c r="Z25" s="16" t="s">
        <v>299</v>
      </c>
      <c r="AA25" s="16" t="s">
        <v>421</v>
      </c>
      <c r="AB25" s="17">
        <v>45098</v>
      </c>
      <c r="AC25" s="16">
        <v>3722.68</v>
      </c>
      <c r="AD25" s="16" t="s">
        <v>311</v>
      </c>
      <c r="AE25" s="16" t="s">
        <v>352</v>
      </c>
    </row>
    <row r="26" spans="1:31" x14ac:dyDescent="0.3">
      <c r="A26" s="13" t="s">
        <v>62</v>
      </c>
      <c r="B26" s="13" t="s">
        <v>63</v>
      </c>
      <c r="C26" s="13" t="s">
        <v>52</v>
      </c>
      <c r="D26" s="14">
        <v>44982</v>
      </c>
      <c r="E26" s="15">
        <v>0.33333333333333331</v>
      </c>
      <c r="F26" s="13" t="s">
        <v>31</v>
      </c>
      <c r="G26" s="13" t="s">
        <v>8</v>
      </c>
      <c r="H26" s="13" t="s">
        <v>377</v>
      </c>
      <c r="I26" s="13" t="s">
        <v>354</v>
      </c>
      <c r="J26" s="13">
        <v>1726.81</v>
      </c>
      <c r="K26" s="14">
        <v>44982</v>
      </c>
      <c r="L26" s="13" t="s">
        <v>365</v>
      </c>
      <c r="M26" s="13" t="s">
        <v>355</v>
      </c>
      <c r="N26" s="13" t="s">
        <v>482</v>
      </c>
      <c r="O26" s="14">
        <v>23734</v>
      </c>
      <c r="P26" s="13">
        <v>6622318721</v>
      </c>
      <c r="Q26" s="13" t="s">
        <v>379</v>
      </c>
      <c r="R26" s="14">
        <v>44415</v>
      </c>
      <c r="S26" s="13" t="s">
        <v>367</v>
      </c>
      <c r="T26" s="13" t="s">
        <v>422</v>
      </c>
      <c r="U26" s="13" t="s">
        <v>360</v>
      </c>
      <c r="V26" s="13" t="s">
        <v>391</v>
      </c>
      <c r="W26" s="13" t="s">
        <v>308</v>
      </c>
      <c r="X26" s="13">
        <v>8322010158</v>
      </c>
      <c r="Y26" s="13">
        <v>17</v>
      </c>
      <c r="Z26" s="13" t="s">
        <v>299</v>
      </c>
      <c r="AA26" s="13" t="s">
        <v>423</v>
      </c>
      <c r="AB26" s="14">
        <v>44982</v>
      </c>
      <c r="AC26" s="13">
        <v>1726.81</v>
      </c>
      <c r="AD26" s="13" t="s">
        <v>311</v>
      </c>
      <c r="AE26" s="13" t="s">
        <v>376</v>
      </c>
    </row>
    <row r="27" spans="1:31" x14ac:dyDescent="0.3">
      <c r="A27" s="16" t="s">
        <v>64</v>
      </c>
      <c r="B27" s="16" t="s">
        <v>65</v>
      </c>
      <c r="C27" s="16" t="s">
        <v>15</v>
      </c>
      <c r="D27" s="17">
        <v>45002</v>
      </c>
      <c r="E27" s="18">
        <v>0.59375</v>
      </c>
      <c r="F27" s="16" t="s">
        <v>31</v>
      </c>
      <c r="G27" s="16" t="s">
        <v>12</v>
      </c>
      <c r="H27" s="16" t="s">
        <v>342</v>
      </c>
      <c r="I27" s="16" t="s">
        <v>364</v>
      </c>
      <c r="J27" s="16">
        <v>2360.9699999999998</v>
      </c>
      <c r="K27" s="17">
        <v>45002</v>
      </c>
      <c r="L27" s="16" t="s">
        <v>390</v>
      </c>
      <c r="M27" s="16" t="s">
        <v>391</v>
      </c>
      <c r="N27" s="16" t="s">
        <v>481</v>
      </c>
      <c r="O27" s="17">
        <v>31656</v>
      </c>
      <c r="P27" s="16">
        <v>8019925828</v>
      </c>
      <c r="Q27" s="16" t="s">
        <v>379</v>
      </c>
      <c r="R27" s="17">
        <v>44408</v>
      </c>
      <c r="S27" s="16" t="s">
        <v>358</v>
      </c>
      <c r="T27" s="16" t="s">
        <v>424</v>
      </c>
      <c r="U27" s="16" t="s">
        <v>344</v>
      </c>
      <c r="V27" s="16" t="s">
        <v>374</v>
      </c>
      <c r="W27" s="16" t="s">
        <v>310</v>
      </c>
      <c r="X27" s="16">
        <v>6570137231</v>
      </c>
      <c r="Y27" s="16">
        <v>23</v>
      </c>
      <c r="Z27" s="16" t="s">
        <v>297</v>
      </c>
      <c r="AA27" s="16" t="s">
        <v>425</v>
      </c>
      <c r="AB27" s="17">
        <v>45002</v>
      </c>
      <c r="AC27" s="16">
        <v>2360.9699999999998</v>
      </c>
      <c r="AD27" s="16" t="s">
        <v>317</v>
      </c>
      <c r="AE27" s="16" t="s">
        <v>363</v>
      </c>
    </row>
    <row r="28" spans="1:31" x14ac:dyDescent="0.3">
      <c r="A28" s="13" t="s">
        <v>66</v>
      </c>
      <c r="B28" s="13" t="s">
        <v>33</v>
      </c>
      <c r="C28" s="13" t="s">
        <v>67</v>
      </c>
      <c r="D28" s="14">
        <v>45244</v>
      </c>
      <c r="E28" s="15">
        <v>0.53125</v>
      </c>
      <c r="F28" s="13" t="s">
        <v>3</v>
      </c>
      <c r="G28" s="13" t="s">
        <v>4</v>
      </c>
      <c r="H28" s="13" t="s">
        <v>413</v>
      </c>
      <c r="I28" s="13" t="s">
        <v>364</v>
      </c>
      <c r="J28" s="13">
        <v>1048.49</v>
      </c>
      <c r="K28" s="14">
        <v>45244</v>
      </c>
      <c r="L28" s="13" t="s">
        <v>360</v>
      </c>
      <c r="M28" s="13" t="s">
        <v>371</v>
      </c>
      <c r="N28" s="13" t="s">
        <v>482</v>
      </c>
      <c r="O28" s="14">
        <v>22090</v>
      </c>
      <c r="P28" s="13">
        <v>7734463155</v>
      </c>
      <c r="Q28" s="13" t="s">
        <v>357</v>
      </c>
      <c r="R28" s="14">
        <v>44468</v>
      </c>
      <c r="S28" s="13" t="s">
        <v>358</v>
      </c>
      <c r="T28" s="13" t="s">
        <v>396</v>
      </c>
      <c r="U28" s="13" t="s">
        <v>350</v>
      </c>
      <c r="V28" s="13" t="s">
        <v>391</v>
      </c>
      <c r="W28" s="13" t="s">
        <v>308</v>
      </c>
      <c r="X28" s="13">
        <v>9118538547</v>
      </c>
      <c r="Y28" s="13">
        <v>26</v>
      </c>
      <c r="Z28" s="13" t="s">
        <v>297</v>
      </c>
      <c r="AA28" s="13" t="s">
        <v>397</v>
      </c>
      <c r="AB28" s="14">
        <v>44939</v>
      </c>
      <c r="AC28" s="13">
        <v>1595.67</v>
      </c>
      <c r="AD28" s="13" t="s">
        <v>311</v>
      </c>
      <c r="AE28" s="13" t="s">
        <v>363</v>
      </c>
    </row>
    <row r="29" spans="1:31" x14ac:dyDescent="0.3">
      <c r="A29" s="16" t="s">
        <v>68</v>
      </c>
      <c r="B29" s="16" t="s">
        <v>43</v>
      </c>
      <c r="C29" s="16" t="s">
        <v>15</v>
      </c>
      <c r="D29" s="17">
        <v>45228</v>
      </c>
      <c r="E29" s="18">
        <v>0.64583333333333337</v>
      </c>
      <c r="F29" s="16" t="s">
        <v>22</v>
      </c>
      <c r="G29" s="16" t="s">
        <v>8</v>
      </c>
      <c r="H29" s="16" t="s">
        <v>342</v>
      </c>
      <c r="I29" s="16" t="s">
        <v>364</v>
      </c>
      <c r="J29" s="16">
        <v>1315.17</v>
      </c>
      <c r="K29" s="17">
        <v>45228</v>
      </c>
      <c r="L29" s="16" t="s">
        <v>404</v>
      </c>
      <c r="M29" s="16" t="s">
        <v>374</v>
      </c>
      <c r="N29" s="16" t="s">
        <v>481</v>
      </c>
      <c r="O29" s="17">
        <v>33580</v>
      </c>
      <c r="P29" s="16">
        <v>8135666049</v>
      </c>
      <c r="Q29" s="16" t="s">
        <v>347</v>
      </c>
      <c r="R29" s="17">
        <v>45043</v>
      </c>
      <c r="S29" s="16" t="s">
        <v>358</v>
      </c>
      <c r="T29" s="16" t="s">
        <v>407</v>
      </c>
      <c r="U29" s="16" t="s">
        <v>344</v>
      </c>
      <c r="V29" s="16" t="s">
        <v>374</v>
      </c>
      <c r="W29" s="16" t="s">
        <v>310</v>
      </c>
      <c r="X29" s="16">
        <v>6570137231</v>
      </c>
      <c r="Y29" s="16">
        <v>23</v>
      </c>
      <c r="Z29" s="16" t="s">
        <v>297</v>
      </c>
      <c r="AA29" s="16" t="s">
        <v>408</v>
      </c>
      <c r="AB29" s="17">
        <v>45071</v>
      </c>
      <c r="AC29" s="16">
        <v>2082.3000000000002</v>
      </c>
      <c r="AD29" s="16" t="s">
        <v>316</v>
      </c>
      <c r="AE29" s="16" t="s">
        <v>363</v>
      </c>
    </row>
    <row r="30" spans="1:31" x14ac:dyDescent="0.3">
      <c r="A30" s="13" t="s">
        <v>69</v>
      </c>
      <c r="B30" s="13" t="s">
        <v>27</v>
      </c>
      <c r="C30" s="13" t="s">
        <v>28</v>
      </c>
      <c r="D30" s="14">
        <v>45102</v>
      </c>
      <c r="E30" s="15">
        <v>0.60416666666666663</v>
      </c>
      <c r="F30" s="13" t="s">
        <v>22</v>
      </c>
      <c r="G30" s="13" t="s">
        <v>34</v>
      </c>
      <c r="H30" s="13" t="s">
        <v>353</v>
      </c>
      <c r="I30" s="13" t="s">
        <v>343</v>
      </c>
      <c r="J30" s="13">
        <v>3565.03</v>
      </c>
      <c r="K30" s="14">
        <v>45102</v>
      </c>
      <c r="L30" s="13" t="s">
        <v>390</v>
      </c>
      <c r="M30" s="13" t="s">
        <v>391</v>
      </c>
      <c r="N30" s="13" t="s">
        <v>482</v>
      </c>
      <c r="O30" s="14">
        <v>36729</v>
      </c>
      <c r="P30" s="13">
        <v>7223380592</v>
      </c>
      <c r="Q30" s="13" t="s">
        <v>386</v>
      </c>
      <c r="R30" s="14">
        <v>44400</v>
      </c>
      <c r="S30" s="13" t="s">
        <v>367</v>
      </c>
      <c r="T30" s="13" t="s">
        <v>392</v>
      </c>
      <c r="U30" s="13" t="s">
        <v>383</v>
      </c>
      <c r="V30" s="13" t="s">
        <v>371</v>
      </c>
      <c r="W30" s="13" t="s">
        <v>309</v>
      </c>
      <c r="X30" s="13">
        <v>6176383634</v>
      </c>
      <c r="Y30" s="13">
        <v>21</v>
      </c>
      <c r="Z30" s="13" t="s">
        <v>298</v>
      </c>
      <c r="AA30" s="13" t="s">
        <v>393</v>
      </c>
      <c r="AB30" s="14">
        <v>45070</v>
      </c>
      <c r="AC30" s="13">
        <v>3413.64</v>
      </c>
      <c r="AD30" s="13" t="s">
        <v>311</v>
      </c>
      <c r="AE30" s="13" t="s">
        <v>376</v>
      </c>
    </row>
    <row r="31" spans="1:31" x14ac:dyDescent="0.3">
      <c r="A31" s="16" t="s">
        <v>70</v>
      </c>
      <c r="B31" s="16" t="s">
        <v>45</v>
      </c>
      <c r="C31" s="16" t="s">
        <v>67</v>
      </c>
      <c r="D31" s="17">
        <v>45167</v>
      </c>
      <c r="E31" s="18">
        <v>0.55208333333333337</v>
      </c>
      <c r="F31" s="16" t="s">
        <v>22</v>
      </c>
      <c r="G31" s="16" t="s">
        <v>34</v>
      </c>
      <c r="H31" s="16" t="s">
        <v>342</v>
      </c>
      <c r="I31" s="16" t="s">
        <v>364</v>
      </c>
      <c r="J31" s="16">
        <v>1316.47</v>
      </c>
      <c r="K31" s="17">
        <v>45167</v>
      </c>
      <c r="L31" s="16" t="s">
        <v>398</v>
      </c>
      <c r="M31" s="16" t="s">
        <v>391</v>
      </c>
      <c r="N31" s="16" t="s">
        <v>482</v>
      </c>
      <c r="O31" s="17">
        <v>37953</v>
      </c>
      <c r="P31" s="16">
        <v>9900972256</v>
      </c>
      <c r="Q31" s="16" t="s">
        <v>357</v>
      </c>
      <c r="R31" s="17">
        <v>44329</v>
      </c>
      <c r="S31" s="16" t="s">
        <v>358</v>
      </c>
      <c r="T31" s="16" t="s">
        <v>409</v>
      </c>
      <c r="U31" s="16" t="s">
        <v>350</v>
      </c>
      <c r="V31" s="16" t="s">
        <v>391</v>
      </c>
      <c r="W31" s="16" t="s">
        <v>308</v>
      </c>
      <c r="X31" s="16">
        <v>9118538547</v>
      </c>
      <c r="Y31" s="16">
        <v>26</v>
      </c>
      <c r="Z31" s="16" t="s">
        <v>297</v>
      </c>
      <c r="AA31" s="16" t="s">
        <v>410</v>
      </c>
      <c r="AB31" s="17">
        <v>44941</v>
      </c>
      <c r="AC31" s="16">
        <v>956.39</v>
      </c>
      <c r="AD31" s="16" t="s">
        <v>317</v>
      </c>
      <c r="AE31" s="16" t="s">
        <v>352</v>
      </c>
    </row>
    <row r="32" spans="1:31" x14ac:dyDescent="0.3">
      <c r="A32" s="13" t="s">
        <v>71</v>
      </c>
      <c r="B32" s="13" t="s">
        <v>45</v>
      </c>
      <c r="C32" s="13" t="s">
        <v>15</v>
      </c>
      <c r="D32" s="14">
        <v>45020</v>
      </c>
      <c r="E32" s="15">
        <v>0.4375</v>
      </c>
      <c r="F32" s="13" t="s">
        <v>22</v>
      </c>
      <c r="G32" s="13" t="s">
        <v>34</v>
      </c>
      <c r="H32" s="13" t="s">
        <v>377</v>
      </c>
      <c r="I32" s="13" t="s">
        <v>364</v>
      </c>
      <c r="J32" s="13">
        <v>2863.24</v>
      </c>
      <c r="K32" s="14">
        <v>45020</v>
      </c>
      <c r="L32" s="13" t="s">
        <v>398</v>
      </c>
      <c r="M32" s="13" t="s">
        <v>391</v>
      </c>
      <c r="N32" s="13" t="s">
        <v>482</v>
      </c>
      <c r="O32" s="14">
        <v>37953</v>
      </c>
      <c r="P32" s="13">
        <v>9900972256</v>
      </c>
      <c r="Q32" s="13" t="s">
        <v>357</v>
      </c>
      <c r="R32" s="14">
        <v>44329</v>
      </c>
      <c r="S32" s="13" t="s">
        <v>358</v>
      </c>
      <c r="T32" s="13" t="s">
        <v>409</v>
      </c>
      <c r="U32" s="13" t="s">
        <v>344</v>
      </c>
      <c r="V32" s="13" t="s">
        <v>374</v>
      </c>
      <c r="W32" s="13" t="s">
        <v>310</v>
      </c>
      <c r="X32" s="13">
        <v>6570137231</v>
      </c>
      <c r="Y32" s="13">
        <v>23</v>
      </c>
      <c r="Z32" s="13" t="s">
        <v>297</v>
      </c>
      <c r="AA32" s="13" t="s">
        <v>410</v>
      </c>
      <c r="AB32" s="14">
        <v>44941</v>
      </c>
      <c r="AC32" s="13">
        <v>956.39</v>
      </c>
      <c r="AD32" s="13" t="s">
        <v>317</v>
      </c>
      <c r="AE32" s="13" t="s">
        <v>352</v>
      </c>
    </row>
    <row r="33" spans="1:31" x14ac:dyDescent="0.3">
      <c r="A33" s="16" t="s">
        <v>72</v>
      </c>
      <c r="B33" s="16" t="s">
        <v>10</v>
      </c>
      <c r="C33" s="16" t="s">
        <v>67</v>
      </c>
      <c r="D33" s="17">
        <v>45236</v>
      </c>
      <c r="E33" s="18">
        <v>0.44791666666666669</v>
      </c>
      <c r="F33" s="16" t="s">
        <v>22</v>
      </c>
      <c r="G33" s="16" t="s">
        <v>4</v>
      </c>
      <c r="H33" s="16" t="s">
        <v>377</v>
      </c>
      <c r="I33" s="16" t="s">
        <v>354</v>
      </c>
      <c r="J33" s="16">
        <v>3690.71</v>
      </c>
      <c r="K33" s="17">
        <v>45236</v>
      </c>
      <c r="L33" s="16" t="s">
        <v>365</v>
      </c>
      <c r="M33" s="16" t="s">
        <v>366</v>
      </c>
      <c r="N33" s="16" t="s">
        <v>482</v>
      </c>
      <c r="O33" s="17">
        <v>30399</v>
      </c>
      <c r="P33" s="16">
        <v>8720989381</v>
      </c>
      <c r="Q33" s="16" t="s">
        <v>357</v>
      </c>
      <c r="R33" s="17">
        <v>45096</v>
      </c>
      <c r="S33" s="16" t="s">
        <v>367</v>
      </c>
      <c r="T33" s="16" t="s">
        <v>368</v>
      </c>
      <c r="U33" s="16" t="s">
        <v>350</v>
      </c>
      <c r="V33" s="16" t="s">
        <v>391</v>
      </c>
      <c r="W33" s="16" t="s">
        <v>308</v>
      </c>
      <c r="X33" s="16">
        <v>9118538547</v>
      </c>
      <c r="Y33" s="16">
        <v>26</v>
      </c>
      <c r="Z33" s="16" t="s">
        <v>297</v>
      </c>
      <c r="AA33" s="16" t="s">
        <v>369</v>
      </c>
      <c r="AB33" s="17">
        <v>45105</v>
      </c>
      <c r="AC33" s="16">
        <v>3731.55</v>
      </c>
      <c r="AD33" s="16" t="s">
        <v>317</v>
      </c>
      <c r="AE33" s="16" t="s">
        <v>363</v>
      </c>
    </row>
    <row r="34" spans="1:31" x14ac:dyDescent="0.3">
      <c r="A34" s="13" t="s">
        <v>73</v>
      </c>
      <c r="B34" s="13" t="s">
        <v>74</v>
      </c>
      <c r="C34" s="13" t="s">
        <v>67</v>
      </c>
      <c r="D34" s="14">
        <v>45192</v>
      </c>
      <c r="E34" s="15">
        <v>0.73958333333333337</v>
      </c>
      <c r="F34" s="13" t="s">
        <v>3</v>
      </c>
      <c r="G34" s="13" t="s">
        <v>8</v>
      </c>
      <c r="H34" s="13" t="s">
        <v>389</v>
      </c>
      <c r="I34" s="13" t="s">
        <v>364</v>
      </c>
      <c r="J34" s="13">
        <v>980.95</v>
      </c>
      <c r="K34" s="14">
        <v>45192</v>
      </c>
      <c r="L34" s="13" t="s">
        <v>390</v>
      </c>
      <c r="M34" s="13" t="s">
        <v>371</v>
      </c>
      <c r="N34" s="13" t="s">
        <v>482</v>
      </c>
      <c r="O34" s="14">
        <v>37316</v>
      </c>
      <c r="P34" s="13">
        <v>7765390555</v>
      </c>
      <c r="Q34" s="13" t="s">
        <v>347</v>
      </c>
      <c r="R34" s="14">
        <v>44580</v>
      </c>
      <c r="S34" s="13" t="s">
        <v>348</v>
      </c>
      <c r="T34" s="13" t="s">
        <v>426</v>
      </c>
      <c r="U34" s="13" t="s">
        <v>350</v>
      </c>
      <c r="V34" s="13" t="s">
        <v>391</v>
      </c>
      <c r="W34" s="13" t="s">
        <v>308</v>
      </c>
      <c r="X34" s="13">
        <v>9118538547</v>
      </c>
      <c r="Y34" s="13">
        <v>26</v>
      </c>
      <c r="Z34" s="13" t="s">
        <v>297</v>
      </c>
      <c r="AA34" s="13" t="s">
        <v>427</v>
      </c>
      <c r="AB34" s="14">
        <v>45192</v>
      </c>
      <c r="AC34" s="13">
        <v>980.95</v>
      </c>
      <c r="AD34" s="13" t="s">
        <v>316</v>
      </c>
      <c r="AE34" s="13" t="s">
        <v>363</v>
      </c>
    </row>
    <row r="35" spans="1:31" x14ac:dyDescent="0.3">
      <c r="A35" s="16" t="s">
        <v>75</v>
      </c>
      <c r="B35" s="16" t="s">
        <v>30</v>
      </c>
      <c r="C35" s="16" t="s">
        <v>7</v>
      </c>
      <c r="D35" s="17">
        <v>45090</v>
      </c>
      <c r="E35" s="18">
        <v>0.47916666666666669</v>
      </c>
      <c r="F35" s="16" t="s">
        <v>11</v>
      </c>
      <c r="G35" s="16" t="s">
        <v>8</v>
      </c>
      <c r="H35" s="16" t="s">
        <v>389</v>
      </c>
      <c r="I35" s="16" t="s">
        <v>343</v>
      </c>
      <c r="J35" s="16">
        <v>3052.9</v>
      </c>
      <c r="K35" s="17">
        <v>45090</v>
      </c>
      <c r="L35" s="16" t="s">
        <v>381</v>
      </c>
      <c r="M35" s="16" t="s">
        <v>371</v>
      </c>
      <c r="N35" s="16" t="s">
        <v>481</v>
      </c>
      <c r="O35" s="17">
        <v>18609</v>
      </c>
      <c r="P35" s="16">
        <v>9271131338</v>
      </c>
      <c r="Q35" s="16" t="s">
        <v>386</v>
      </c>
      <c r="R35" s="17">
        <v>44264</v>
      </c>
      <c r="S35" s="16" t="s">
        <v>367</v>
      </c>
      <c r="T35" s="16" t="s">
        <v>394</v>
      </c>
      <c r="U35" s="16" t="s">
        <v>360</v>
      </c>
      <c r="V35" s="16" t="s">
        <v>361</v>
      </c>
      <c r="W35" s="16" t="s">
        <v>310</v>
      </c>
      <c r="X35" s="16">
        <v>6594221991</v>
      </c>
      <c r="Y35" s="16">
        <v>28</v>
      </c>
      <c r="Z35" s="16" t="s">
        <v>297</v>
      </c>
      <c r="AA35" s="16" t="s">
        <v>395</v>
      </c>
      <c r="AB35" s="17">
        <v>44990</v>
      </c>
      <c r="AC35" s="16">
        <v>4541.1400000000003</v>
      </c>
      <c r="AD35" s="16" t="s">
        <v>316</v>
      </c>
      <c r="AE35" s="16" t="s">
        <v>363</v>
      </c>
    </row>
    <row r="36" spans="1:31" x14ac:dyDescent="0.3">
      <c r="A36" s="13" t="s">
        <v>76</v>
      </c>
      <c r="B36" s="13" t="s">
        <v>77</v>
      </c>
      <c r="C36" s="13" t="s">
        <v>18</v>
      </c>
      <c r="D36" s="14">
        <v>45034</v>
      </c>
      <c r="E36" s="15">
        <v>0.36458333333333331</v>
      </c>
      <c r="F36" s="13" t="s">
        <v>31</v>
      </c>
      <c r="G36" s="13" t="s">
        <v>4</v>
      </c>
      <c r="H36" s="13" t="s">
        <v>353</v>
      </c>
      <c r="I36" s="13" t="s">
        <v>364</v>
      </c>
      <c r="J36" s="13">
        <v>1654.53</v>
      </c>
      <c r="K36" s="14">
        <v>45034</v>
      </c>
      <c r="L36" s="13" t="s">
        <v>390</v>
      </c>
      <c r="M36" s="13" t="s">
        <v>371</v>
      </c>
      <c r="N36" s="13" t="s">
        <v>482</v>
      </c>
      <c r="O36" s="14">
        <v>35790</v>
      </c>
      <c r="P36" s="13">
        <v>8545613046</v>
      </c>
      <c r="Q36" s="13" t="s">
        <v>357</v>
      </c>
      <c r="R36" s="14">
        <v>44838</v>
      </c>
      <c r="S36" s="13" t="s">
        <v>358</v>
      </c>
      <c r="T36" s="13" t="s">
        <v>428</v>
      </c>
      <c r="U36" s="13" t="s">
        <v>381</v>
      </c>
      <c r="V36" s="13" t="s">
        <v>345</v>
      </c>
      <c r="W36" s="13" t="s">
        <v>310</v>
      </c>
      <c r="X36" s="13">
        <v>8737740598</v>
      </c>
      <c r="Y36" s="13">
        <v>19</v>
      </c>
      <c r="Z36" s="13" t="s">
        <v>298</v>
      </c>
      <c r="AA36" s="13" t="s">
        <v>429</v>
      </c>
      <c r="AB36" s="14">
        <v>45034</v>
      </c>
      <c r="AC36" s="13">
        <v>1654.53</v>
      </c>
      <c r="AD36" s="13" t="s">
        <v>317</v>
      </c>
      <c r="AE36" s="13" t="s">
        <v>376</v>
      </c>
    </row>
    <row r="37" spans="1:31" x14ac:dyDescent="0.3">
      <c r="A37" s="16" t="s">
        <v>78</v>
      </c>
      <c r="B37" s="16" t="s">
        <v>79</v>
      </c>
      <c r="C37" s="16" t="s">
        <v>18</v>
      </c>
      <c r="D37" s="17">
        <v>44934</v>
      </c>
      <c r="E37" s="18">
        <v>0.60416666666666663</v>
      </c>
      <c r="F37" s="16" t="s">
        <v>22</v>
      </c>
      <c r="G37" s="16" t="s">
        <v>8</v>
      </c>
      <c r="H37" s="16" t="s">
        <v>413</v>
      </c>
      <c r="I37" s="16" t="s">
        <v>343</v>
      </c>
      <c r="J37" s="16">
        <v>4833.17</v>
      </c>
      <c r="K37" s="17">
        <v>44934</v>
      </c>
      <c r="L37" s="16" t="s">
        <v>390</v>
      </c>
      <c r="M37" s="16" t="s">
        <v>371</v>
      </c>
      <c r="N37" s="16" t="s">
        <v>481</v>
      </c>
      <c r="O37" s="17">
        <v>25605</v>
      </c>
      <c r="P37" s="16">
        <v>7923214041</v>
      </c>
      <c r="Q37" s="16" t="s">
        <v>386</v>
      </c>
      <c r="R37" s="17">
        <v>45175</v>
      </c>
      <c r="S37" s="16" t="s">
        <v>358</v>
      </c>
      <c r="T37" s="16" t="s">
        <v>430</v>
      </c>
      <c r="U37" s="16" t="s">
        <v>381</v>
      </c>
      <c r="V37" s="16" t="s">
        <v>345</v>
      </c>
      <c r="W37" s="16" t="s">
        <v>310</v>
      </c>
      <c r="X37" s="16">
        <v>8737740598</v>
      </c>
      <c r="Y37" s="16">
        <v>19</v>
      </c>
      <c r="Z37" s="16" t="s">
        <v>298</v>
      </c>
      <c r="AA37" s="16" t="s">
        <v>431</v>
      </c>
      <c r="AB37" s="17">
        <v>44934</v>
      </c>
      <c r="AC37" s="16">
        <v>4833.17</v>
      </c>
      <c r="AD37" s="16" t="s">
        <v>311</v>
      </c>
      <c r="AE37" s="16" t="s">
        <v>352</v>
      </c>
    </row>
    <row r="38" spans="1:31" x14ac:dyDescent="0.3">
      <c r="A38" s="13" t="s">
        <v>80</v>
      </c>
      <c r="B38" s="13" t="s">
        <v>63</v>
      </c>
      <c r="C38" s="13" t="s">
        <v>7</v>
      </c>
      <c r="D38" s="14">
        <v>45013</v>
      </c>
      <c r="E38" s="15">
        <v>0.45833333333333331</v>
      </c>
      <c r="F38" s="13" t="s">
        <v>11</v>
      </c>
      <c r="G38" s="13" t="s">
        <v>4</v>
      </c>
      <c r="H38" s="13" t="s">
        <v>342</v>
      </c>
      <c r="I38" s="13" t="s">
        <v>364</v>
      </c>
      <c r="J38" s="13">
        <v>2675.96</v>
      </c>
      <c r="K38" s="14">
        <v>45013</v>
      </c>
      <c r="L38" s="13" t="s">
        <v>365</v>
      </c>
      <c r="M38" s="13" t="s">
        <v>355</v>
      </c>
      <c r="N38" s="13" t="s">
        <v>482</v>
      </c>
      <c r="O38" s="14">
        <v>23734</v>
      </c>
      <c r="P38" s="13">
        <v>6622318721</v>
      </c>
      <c r="Q38" s="13" t="s">
        <v>379</v>
      </c>
      <c r="R38" s="14">
        <v>44415</v>
      </c>
      <c r="S38" s="13" t="s">
        <v>367</v>
      </c>
      <c r="T38" s="13" t="s">
        <v>422</v>
      </c>
      <c r="U38" s="13" t="s">
        <v>360</v>
      </c>
      <c r="V38" s="13" t="s">
        <v>361</v>
      </c>
      <c r="W38" s="13" t="s">
        <v>310</v>
      </c>
      <c r="X38" s="13">
        <v>6594221991</v>
      </c>
      <c r="Y38" s="13">
        <v>28</v>
      </c>
      <c r="Z38" s="13" t="s">
        <v>297</v>
      </c>
      <c r="AA38" s="13" t="s">
        <v>423</v>
      </c>
      <c r="AB38" s="14">
        <v>44982</v>
      </c>
      <c r="AC38" s="13">
        <v>1726.81</v>
      </c>
      <c r="AD38" s="13" t="s">
        <v>311</v>
      </c>
      <c r="AE38" s="13" t="s">
        <v>376</v>
      </c>
    </row>
    <row r="39" spans="1:31" x14ac:dyDescent="0.3">
      <c r="A39" s="16" t="s">
        <v>81</v>
      </c>
      <c r="B39" s="16" t="s">
        <v>49</v>
      </c>
      <c r="C39" s="16" t="s">
        <v>2</v>
      </c>
      <c r="D39" s="17">
        <v>44980</v>
      </c>
      <c r="E39" s="18">
        <v>0.54166666666666663</v>
      </c>
      <c r="F39" s="16" t="s">
        <v>11</v>
      </c>
      <c r="G39" s="16" t="s">
        <v>4</v>
      </c>
      <c r="H39" s="16" t="s">
        <v>353</v>
      </c>
      <c r="I39" s="16" t="s">
        <v>364</v>
      </c>
      <c r="J39" s="16">
        <v>4126.97</v>
      </c>
      <c r="K39" s="17">
        <v>44980</v>
      </c>
      <c r="L39" s="16" t="s">
        <v>370</v>
      </c>
      <c r="M39" s="16" t="s">
        <v>378</v>
      </c>
      <c r="N39" s="16" t="s">
        <v>482</v>
      </c>
      <c r="O39" s="17">
        <v>36196</v>
      </c>
      <c r="P39" s="16">
        <v>8886800195</v>
      </c>
      <c r="Q39" s="16" t="s">
        <v>379</v>
      </c>
      <c r="R39" s="17">
        <v>44469</v>
      </c>
      <c r="S39" s="16" t="s">
        <v>372</v>
      </c>
      <c r="T39" s="16" t="s">
        <v>411</v>
      </c>
      <c r="U39" s="16" t="s">
        <v>350</v>
      </c>
      <c r="V39" s="16" t="s">
        <v>345</v>
      </c>
      <c r="W39" s="16" t="s">
        <v>310</v>
      </c>
      <c r="X39" s="16">
        <v>7387087517</v>
      </c>
      <c r="Y39" s="16">
        <v>26</v>
      </c>
      <c r="Z39" s="16" t="s">
        <v>297</v>
      </c>
      <c r="AA39" s="16" t="s">
        <v>412</v>
      </c>
      <c r="AB39" s="17">
        <v>45118</v>
      </c>
      <c r="AC39" s="16">
        <v>1655.49</v>
      </c>
      <c r="AD39" s="16" t="s">
        <v>316</v>
      </c>
      <c r="AE39" s="16" t="s">
        <v>352</v>
      </c>
    </row>
    <row r="40" spans="1:31" x14ac:dyDescent="0.3">
      <c r="A40" s="13" t="s">
        <v>82</v>
      </c>
      <c r="B40" s="13" t="s">
        <v>83</v>
      </c>
      <c r="C40" s="13" t="s">
        <v>41</v>
      </c>
      <c r="D40" s="14">
        <v>45033</v>
      </c>
      <c r="E40" s="15">
        <v>0.33333333333333331</v>
      </c>
      <c r="F40" s="13" t="s">
        <v>31</v>
      </c>
      <c r="G40" s="13" t="s">
        <v>4</v>
      </c>
      <c r="H40" s="13" t="s">
        <v>389</v>
      </c>
      <c r="I40" s="13" t="s">
        <v>364</v>
      </c>
      <c r="J40" s="13">
        <v>2976.02</v>
      </c>
      <c r="K40" s="14">
        <v>45033</v>
      </c>
      <c r="L40" s="13" t="s">
        <v>383</v>
      </c>
      <c r="M40" s="13" t="s">
        <v>432</v>
      </c>
      <c r="N40" s="13" t="s">
        <v>482</v>
      </c>
      <c r="O40" s="14">
        <v>34387</v>
      </c>
      <c r="P40" s="13">
        <v>6141951830</v>
      </c>
      <c r="Q40" s="13" t="s">
        <v>386</v>
      </c>
      <c r="R40" s="14">
        <v>44557</v>
      </c>
      <c r="S40" s="13" t="s">
        <v>348</v>
      </c>
      <c r="T40" s="13" t="s">
        <v>433</v>
      </c>
      <c r="U40" s="13" t="s">
        <v>381</v>
      </c>
      <c r="V40" s="13" t="s">
        <v>374</v>
      </c>
      <c r="W40" s="13" t="s">
        <v>310</v>
      </c>
      <c r="X40" s="13">
        <v>9004382050</v>
      </c>
      <c r="Y40" s="13">
        <v>24</v>
      </c>
      <c r="Z40" s="13" t="s">
        <v>298</v>
      </c>
      <c r="AA40" s="13" t="s">
        <v>434</v>
      </c>
      <c r="AB40" s="14">
        <v>45033</v>
      </c>
      <c r="AC40" s="13">
        <v>2976.02</v>
      </c>
      <c r="AD40" s="13" t="s">
        <v>317</v>
      </c>
      <c r="AE40" s="13" t="s">
        <v>376</v>
      </c>
    </row>
    <row r="41" spans="1:31" x14ac:dyDescent="0.3">
      <c r="A41" s="16" t="s">
        <v>84</v>
      </c>
      <c r="B41" s="16" t="s">
        <v>85</v>
      </c>
      <c r="C41" s="16" t="s">
        <v>2</v>
      </c>
      <c r="D41" s="17">
        <v>45012</v>
      </c>
      <c r="E41" s="18">
        <v>0.52083333333333337</v>
      </c>
      <c r="F41" s="16" t="s">
        <v>3</v>
      </c>
      <c r="G41" s="16" t="s">
        <v>34</v>
      </c>
      <c r="H41" s="16" t="s">
        <v>342</v>
      </c>
      <c r="I41" s="16" t="s">
        <v>364</v>
      </c>
      <c r="J41" s="16">
        <v>695.36</v>
      </c>
      <c r="K41" s="17">
        <v>45012</v>
      </c>
      <c r="L41" s="16" t="s">
        <v>390</v>
      </c>
      <c r="M41" s="16" t="s">
        <v>391</v>
      </c>
      <c r="N41" s="16" t="s">
        <v>482</v>
      </c>
      <c r="O41" s="17">
        <v>37177</v>
      </c>
      <c r="P41" s="16">
        <v>7081396733</v>
      </c>
      <c r="Q41" s="16" t="s">
        <v>357</v>
      </c>
      <c r="R41" s="17">
        <v>44797</v>
      </c>
      <c r="S41" s="16" t="s">
        <v>348</v>
      </c>
      <c r="T41" s="16" t="s">
        <v>435</v>
      </c>
      <c r="U41" s="16" t="s">
        <v>350</v>
      </c>
      <c r="V41" s="16" t="s">
        <v>345</v>
      </c>
      <c r="W41" s="16" t="s">
        <v>310</v>
      </c>
      <c r="X41" s="16">
        <v>7387087517</v>
      </c>
      <c r="Y41" s="16">
        <v>26</v>
      </c>
      <c r="Z41" s="16" t="s">
        <v>297</v>
      </c>
      <c r="AA41" s="16" t="s">
        <v>436</v>
      </c>
      <c r="AB41" s="17">
        <v>45012</v>
      </c>
      <c r="AC41" s="16">
        <v>695.36</v>
      </c>
      <c r="AD41" s="16" t="s">
        <v>311</v>
      </c>
      <c r="AE41" s="16" t="s">
        <v>376</v>
      </c>
    </row>
    <row r="42" spans="1:31" x14ac:dyDescent="0.3">
      <c r="A42" s="13" t="s">
        <v>86</v>
      </c>
      <c r="B42" s="13" t="s">
        <v>33</v>
      </c>
      <c r="C42" s="13" t="s">
        <v>52</v>
      </c>
      <c r="D42" s="14">
        <v>44927</v>
      </c>
      <c r="E42" s="15">
        <v>0.58333333333333337</v>
      </c>
      <c r="F42" s="13" t="s">
        <v>19</v>
      </c>
      <c r="G42" s="13" t="s">
        <v>8</v>
      </c>
      <c r="H42" s="13" t="s">
        <v>389</v>
      </c>
      <c r="I42" s="13" t="s">
        <v>343</v>
      </c>
      <c r="J42" s="13">
        <v>3349.18</v>
      </c>
      <c r="K42" s="14">
        <v>44927</v>
      </c>
      <c r="L42" s="13" t="s">
        <v>360</v>
      </c>
      <c r="M42" s="13" t="s">
        <v>371</v>
      </c>
      <c r="N42" s="13" t="s">
        <v>482</v>
      </c>
      <c r="O42" s="14">
        <v>22090</v>
      </c>
      <c r="P42" s="13">
        <v>7734463155</v>
      </c>
      <c r="Q42" s="13" t="s">
        <v>357</v>
      </c>
      <c r="R42" s="14">
        <v>44468</v>
      </c>
      <c r="S42" s="13" t="s">
        <v>358</v>
      </c>
      <c r="T42" s="13" t="s">
        <v>396</v>
      </c>
      <c r="U42" s="13" t="s">
        <v>360</v>
      </c>
      <c r="V42" s="13" t="s">
        <v>391</v>
      </c>
      <c r="W42" s="13" t="s">
        <v>308</v>
      </c>
      <c r="X42" s="13">
        <v>8322010158</v>
      </c>
      <c r="Y42" s="13">
        <v>17</v>
      </c>
      <c r="Z42" s="13" t="s">
        <v>299</v>
      </c>
      <c r="AA42" s="13" t="s">
        <v>397</v>
      </c>
      <c r="AB42" s="14">
        <v>44939</v>
      </c>
      <c r="AC42" s="13">
        <v>1595.67</v>
      </c>
      <c r="AD42" s="13" t="s">
        <v>311</v>
      </c>
      <c r="AE42" s="13" t="s">
        <v>363</v>
      </c>
    </row>
    <row r="43" spans="1:31" x14ac:dyDescent="0.3">
      <c r="A43" s="16" t="s">
        <v>87</v>
      </c>
      <c r="B43" s="16" t="s">
        <v>77</v>
      </c>
      <c r="C43" s="16" t="s">
        <v>52</v>
      </c>
      <c r="D43" s="17">
        <v>45006</v>
      </c>
      <c r="E43" s="18">
        <v>0.46875</v>
      </c>
      <c r="F43" s="16" t="s">
        <v>19</v>
      </c>
      <c r="G43" s="16" t="s">
        <v>4</v>
      </c>
      <c r="H43" s="16" t="s">
        <v>342</v>
      </c>
      <c r="I43" s="16" t="s">
        <v>343</v>
      </c>
      <c r="J43" s="16">
        <v>4781.32</v>
      </c>
      <c r="K43" s="17">
        <v>45006</v>
      </c>
      <c r="L43" s="16" t="s">
        <v>390</v>
      </c>
      <c r="M43" s="16" t="s">
        <v>371</v>
      </c>
      <c r="N43" s="16" t="s">
        <v>482</v>
      </c>
      <c r="O43" s="17">
        <v>35790</v>
      </c>
      <c r="P43" s="16">
        <v>8545613046</v>
      </c>
      <c r="Q43" s="16" t="s">
        <v>357</v>
      </c>
      <c r="R43" s="17">
        <v>44838</v>
      </c>
      <c r="S43" s="16" t="s">
        <v>358</v>
      </c>
      <c r="T43" s="16" t="s">
        <v>428</v>
      </c>
      <c r="U43" s="16" t="s">
        <v>360</v>
      </c>
      <c r="V43" s="16" t="s">
        <v>391</v>
      </c>
      <c r="W43" s="16" t="s">
        <v>308</v>
      </c>
      <c r="X43" s="16">
        <v>8322010158</v>
      </c>
      <c r="Y43" s="16">
        <v>17</v>
      </c>
      <c r="Z43" s="16" t="s">
        <v>299</v>
      </c>
      <c r="AA43" s="16" t="s">
        <v>429</v>
      </c>
      <c r="AB43" s="17">
        <v>45034</v>
      </c>
      <c r="AC43" s="16">
        <v>1654.53</v>
      </c>
      <c r="AD43" s="16" t="s">
        <v>317</v>
      </c>
      <c r="AE43" s="16" t="s">
        <v>376</v>
      </c>
    </row>
    <row r="44" spans="1:31" x14ac:dyDescent="0.3">
      <c r="A44" s="13" t="s">
        <v>88</v>
      </c>
      <c r="B44" s="13" t="s">
        <v>1</v>
      </c>
      <c r="C44" s="13" t="s">
        <v>67</v>
      </c>
      <c r="D44" s="14">
        <v>45014</v>
      </c>
      <c r="E44" s="15">
        <v>0.38541666666666669</v>
      </c>
      <c r="F44" s="13" t="s">
        <v>11</v>
      </c>
      <c r="G44" s="13" t="s">
        <v>8</v>
      </c>
      <c r="H44" s="13" t="s">
        <v>413</v>
      </c>
      <c r="I44" s="13" t="s">
        <v>354</v>
      </c>
      <c r="J44" s="13">
        <v>3207.25</v>
      </c>
      <c r="K44" s="14">
        <v>45014</v>
      </c>
      <c r="L44" s="13" t="s">
        <v>344</v>
      </c>
      <c r="M44" s="13" t="s">
        <v>345</v>
      </c>
      <c r="N44" s="13" t="s">
        <v>481</v>
      </c>
      <c r="O44" s="14">
        <v>18289</v>
      </c>
      <c r="P44" s="13">
        <v>8374657733</v>
      </c>
      <c r="Q44" s="13" t="s">
        <v>347</v>
      </c>
      <c r="R44" s="14">
        <v>45095</v>
      </c>
      <c r="S44" s="13" t="s">
        <v>348</v>
      </c>
      <c r="T44" s="13" t="s">
        <v>349</v>
      </c>
      <c r="U44" s="13" t="s">
        <v>350</v>
      </c>
      <c r="V44" s="13" t="s">
        <v>391</v>
      </c>
      <c r="W44" s="13" t="s">
        <v>308</v>
      </c>
      <c r="X44" s="13">
        <v>9118538547</v>
      </c>
      <c r="Y44" s="13">
        <v>26</v>
      </c>
      <c r="Z44" s="13" t="s">
        <v>297</v>
      </c>
      <c r="AA44" s="13" t="s">
        <v>351</v>
      </c>
      <c r="AB44" s="14">
        <v>45147</v>
      </c>
      <c r="AC44" s="13">
        <v>3941.97</v>
      </c>
      <c r="AD44" s="13" t="s">
        <v>317</v>
      </c>
      <c r="AE44" s="13" t="s">
        <v>352</v>
      </c>
    </row>
    <row r="45" spans="1:31" x14ac:dyDescent="0.3">
      <c r="A45" s="16" t="s">
        <v>89</v>
      </c>
      <c r="B45" s="16" t="s">
        <v>90</v>
      </c>
      <c r="C45" s="16" t="s">
        <v>15</v>
      </c>
      <c r="D45" s="17">
        <v>45189</v>
      </c>
      <c r="E45" s="18">
        <v>0.52083333333333337</v>
      </c>
      <c r="F45" s="16" t="s">
        <v>31</v>
      </c>
      <c r="G45" s="16" t="s">
        <v>34</v>
      </c>
      <c r="H45" s="16" t="s">
        <v>353</v>
      </c>
      <c r="I45" s="16" t="s">
        <v>343</v>
      </c>
      <c r="J45" s="16">
        <v>4186.3500000000004</v>
      </c>
      <c r="K45" s="17">
        <v>45189</v>
      </c>
      <c r="L45" s="16" t="s">
        <v>370</v>
      </c>
      <c r="M45" s="16" t="s">
        <v>366</v>
      </c>
      <c r="N45" s="16" t="s">
        <v>482</v>
      </c>
      <c r="O45" s="17">
        <v>31791</v>
      </c>
      <c r="P45" s="16">
        <v>8280346676</v>
      </c>
      <c r="Q45" s="16" t="s">
        <v>347</v>
      </c>
      <c r="R45" s="17">
        <v>44740</v>
      </c>
      <c r="S45" s="16" t="s">
        <v>348</v>
      </c>
      <c r="T45" s="16" t="s">
        <v>437</v>
      </c>
      <c r="U45" s="16" t="s">
        <v>344</v>
      </c>
      <c r="V45" s="16" t="s">
        <v>374</v>
      </c>
      <c r="W45" s="16" t="s">
        <v>310</v>
      </c>
      <c r="X45" s="16">
        <v>6570137231</v>
      </c>
      <c r="Y45" s="16">
        <v>23</v>
      </c>
      <c r="Z45" s="16" t="s">
        <v>297</v>
      </c>
      <c r="AA45" s="16" t="s">
        <v>438</v>
      </c>
      <c r="AB45" s="17">
        <v>45189</v>
      </c>
      <c r="AC45" s="16">
        <v>4186.3500000000004</v>
      </c>
      <c r="AD45" s="16" t="s">
        <v>317</v>
      </c>
      <c r="AE45" s="16" t="s">
        <v>363</v>
      </c>
    </row>
    <row r="46" spans="1:31" x14ac:dyDescent="0.3">
      <c r="A46" s="13" t="s">
        <v>91</v>
      </c>
      <c r="B46" s="13" t="s">
        <v>85</v>
      </c>
      <c r="C46" s="13" t="s">
        <v>15</v>
      </c>
      <c r="D46" s="14">
        <v>45197</v>
      </c>
      <c r="E46" s="15">
        <v>0.70833333333333337</v>
      </c>
      <c r="F46" s="13" t="s">
        <v>19</v>
      </c>
      <c r="G46" s="13" t="s">
        <v>4</v>
      </c>
      <c r="H46" s="13" t="s">
        <v>342</v>
      </c>
      <c r="I46" s="13" t="s">
        <v>364</v>
      </c>
      <c r="J46" s="13">
        <v>4478.93</v>
      </c>
      <c r="K46" s="14">
        <v>45197</v>
      </c>
      <c r="L46" s="13" t="s">
        <v>390</v>
      </c>
      <c r="M46" s="13" t="s">
        <v>391</v>
      </c>
      <c r="N46" s="13" t="s">
        <v>482</v>
      </c>
      <c r="O46" s="14">
        <v>37177</v>
      </c>
      <c r="P46" s="13">
        <v>7081396733</v>
      </c>
      <c r="Q46" s="13" t="s">
        <v>357</v>
      </c>
      <c r="R46" s="14">
        <v>44797</v>
      </c>
      <c r="S46" s="13" t="s">
        <v>348</v>
      </c>
      <c r="T46" s="13" t="s">
        <v>435</v>
      </c>
      <c r="U46" s="13" t="s">
        <v>344</v>
      </c>
      <c r="V46" s="13" t="s">
        <v>374</v>
      </c>
      <c r="W46" s="13" t="s">
        <v>310</v>
      </c>
      <c r="X46" s="13">
        <v>6570137231</v>
      </c>
      <c r="Y46" s="13">
        <v>23</v>
      </c>
      <c r="Z46" s="13" t="s">
        <v>297</v>
      </c>
      <c r="AA46" s="13" t="s">
        <v>436</v>
      </c>
      <c r="AB46" s="14">
        <v>45012</v>
      </c>
      <c r="AC46" s="13">
        <v>695.36</v>
      </c>
      <c r="AD46" s="13" t="s">
        <v>311</v>
      </c>
      <c r="AE46" s="13" t="s">
        <v>376</v>
      </c>
    </row>
    <row r="47" spans="1:31" x14ac:dyDescent="0.3">
      <c r="A47" s="16" t="s">
        <v>92</v>
      </c>
      <c r="B47" s="16" t="s">
        <v>93</v>
      </c>
      <c r="C47" s="16" t="s">
        <v>18</v>
      </c>
      <c r="D47" s="17">
        <v>45280</v>
      </c>
      <c r="E47" s="18">
        <v>0.55208333333333337</v>
      </c>
      <c r="F47" s="16" t="s">
        <v>11</v>
      </c>
      <c r="G47" s="16" t="s">
        <v>12</v>
      </c>
      <c r="H47" s="16" t="s">
        <v>377</v>
      </c>
      <c r="I47" s="16" t="s">
        <v>354</v>
      </c>
      <c r="J47" s="16">
        <v>1526.36</v>
      </c>
      <c r="K47" s="17">
        <v>45280</v>
      </c>
      <c r="L47" s="16" t="s">
        <v>350</v>
      </c>
      <c r="M47" s="16" t="s">
        <v>366</v>
      </c>
      <c r="N47" s="16" t="s">
        <v>482</v>
      </c>
      <c r="O47" s="17">
        <v>27538</v>
      </c>
      <c r="P47" s="16">
        <v>8618058864</v>
      </c>
      <c r="Q47" s="16" t="s">
        <v>386</v>
      </c>
      <c r="R47" s="17">
        <v>45101</v>
      </c>
      <c r="S47" s="16" t="s">
        <v>348</v>
      </c>
      <c r="T47" s="16" t="s">
        <v>439</v>
      </c>
      <c r="U47" s="16" t="s">
        <v>381</v>
      </c>
      <c r="V47" s="16" t="s">
        <v>345</v>
      </c>
      <c r="W47" s="16" t="s">
        <v>310</v>
      </c>
      <c r="X47" s="16">
        <v>8737740598</v>
      </c>
      <c r="Y47" s="16">
        <v>19</v>
      </c>
      <c r="Z47" s="16" t="s">
        <v>298</v>
      </c>
      <c r="AA47" s="16" t="s">
        <v>440</v>
      </c>
      <c r="AB47" s="17">
        <v>45280</v>
      </c>
      <c r="AC47" s="16">
        <v>1526.36</v>
      </c>
      <c r="AD47" s="16" t="s">
        <v>311</v>
      </c>
      <c r="AE47" s="16" t="s">
        <v>363</v>
      </c>
    </row>
    <row r="48" spans="1:31" x14ac:dyDescent="0.3">
      <c r="A48" s="13" t="s">
        <v>94</v>
      </c>
      <c r="B48" s="13" t="s">
        <v>6</v>
      </c>
      <c r="C48" s="13" t="s">
        <v>25</v>
      </c>
      <c r="D48" s="14">
        <v>45048</v>
      </c>
      <c r="E48" s="15">
        <v>0.45833333333333331</v>
      </c>
      <c r="F48" s="13" t="s">
        <v>3</v>
      </c>
      <c r="G48" s="13" t="s">
        <v>34</v>
      </c>
      <c r="H48" s="13" t="s">
        <v>377</v>
      </c>
      <c r="I48" s="13" t="s">
        <v>354</v>
      </c>
      <c r="J48" s="13">
        <v>1454.2</v>
      </c>
      <c r="K48" s="14">
        <v>45048</v>
      </c>
      <c r="L48" s="13" t="s">
        <v>344</v>
      </c>
      <c r="M48" s="13" t="s">
        <v>355</v>
      </c>
      <c r="N48" s="13" t="s">
        <v>482</v>
      </c>
      <c r="O48" s="14">
        <v>29594</v>
      </c>
      <c r="P48" s="13">
        <v>8102183595</v>
      </c>
      <c r="Q48" s="13" t="s">
        <v>357</v>
      </c>
      <c r="R48" s="14">
        <v>44471</v>
      </c>
      <c r="S48" s="13" t="s">
        <v>358</v>
      </c>
      <c r="T48" s="13" t="s">
        <v>359</v>
      </c>
      <c r="U48" s="13" t="s">
        <v>370</v>
      </c>
      <c r="V48" s="13" t="s">
        <v>374</v>
      </c>
      <c r="W48" s="13" t="s">
        <v>309</v>
      </c>
      <c r="X48" s="13">
        <v>8217493115</v>
      </c>
      <c r="Y48" s="13">
        <v>26</v>
      </c>
      <c r="Z48" s="13" t="s">
        <v>299</v>
      </c>
      <c r="AA48" s="13" t="s">
        <v>362</v>
      </c>
      <c r="AB48" s="14">
        <v>45086</v>
      </c>
      <c r="AC48" s="13">
        <v>4158.4399999999996</v>
      </c>
      <c r="AD48" s="13" t="s">
        <v>317</v>
      </c>
      <c r="AE48" s="13" t="s">
        <v>363</v>
      </c>
    </row>
    <row r="49" spans="1:31" x14ac:dyDescent="0.3">
      <c r="A49" s="16" t="s">
        <v>95</v>
      </c>
      <c r="B49" s="16" t="s">
        <v>24</v>
      </c>
      <c r="C49" s="16" t="s">
        <v>2</v>
      </c>
      <c r="D49" s="17">
        <v>44942</v>
      </c>
      <c r="E49" s="18">
        <v>0.65625</v>
      </c>
      <c r="F49" s="16" t="s">
        <v>19</v>
      </c>
      <c r="G49" s="16" t="s">
        <v>12</v>
      </c>
      <c r="H49" s="16" t="s">
        <v>342</v>
      </c>
      <c r="I49" s="16" t="s">
        <v>354</v>
      </c>
      <c r="J49" s="16">
        <v>3249.41</v>
      </c>
      <c r="K49" s="17">
        <v>44942</v>
      </c>
      <c r="L49" s="16" t="s">
        <v>360</v>
      </c>
      <c r="M49" s="16" t="s">
        <v>378</v>
      </c>
      <c r="N49" s="16" t="s">
        <v>481</v>
      </c>
      <c r="O49" s="17">
        <v>20244</v>
      </c>
      <c r="P49" s="16">
        <v>6939585183</v>
      </c>
      <c r="Q49" s="16" t="s">
        <v>386</v>
      </c>
      <c r="R49" s="17">
        <v>44735</v>
      </c>
      <c r="S49" s="16" t="s">
        <v>348</v>
      </c>
      <c r="T49" s="16" t="s">
        <v>387</v>
      </c>
      <c r="U49" s="16" t="s">
        <v>350</v>
      </c>
      <c r="V49" s="16" t="s">
        <v>345</v>
      </c>
      <c r="W49" s="16" t="s">
        <v>310</v>
      </c>
      <c r="X49" s="16">
        <v>7387087517</v>
      </c>
      <c r="Y49" s="16">
        <v>26</v>
      </c>
      <c r="Z49" s="16" t="s">
        <v>297</v>
      </c>
      <c r="AA49" s="16" t="s">
        <v>388</v>
      </c>
      <c r="AB49" s="17">
        <v>45025</v>
      </c>
      <c r="AC49" s="16">
        <v>534.03</v>
      </c>
      <c r="AD49" s="16" t="s">
        <v>311</v>
      </c>
      <c r="AE49" s="16" t="s">
        <v>376</v>
      </c>
    </row>
    <row r="50" spans="1:31" x14ac:dyDescent="0.3">
      <c r="A50" s="13" t="s">
        <v>96</v>
      </c>
      <c r="B50" s="13" t="s">
        <v>33</v>
      </c>
      <c r="C50" s="13" t="s">
        <v>28</v>
      </c>
      <c r="D50" s="14">
        <v>45046</v>
      </c>
      <c r="E50" s="15">
        <v>0.64583333333333337</v>
      </c>
      <c r="F50" s="13" t="s">
        <v>11</v>
      </c>
      <c r="G50" s="13" t="s">
        <v>8</v>
      </c>
      <c r="H50" s="13" t="s">
        <v>342</v>
      </c>
      <c r="I50" s="13" t="s">
        <v>364</v>
      </c>
      <c r="J50" s="13">
        <v>2349.63</v>
      </c>
      <c r="K50" s="14">
        <v>45046</v>
      </c>
      <c r="L50" s="13" t="s">
        <v>360</v>
      </c>
      <c r="M50" s="13" t="s">
        <v>371</v>
      </c>
      <c r="N50" s="13" t="s">
        <v>482</v>
      </c>
      <c r="O50" s="14">
        <v>22090</v>
      </c>
      <c r="P50" s="13">
        <v>7734463155</v>
      </c>
      <c r="Q50" s="13" t="s">
        <v>357</v>
      </c>
      <c r="R50" s="14">
        <v>44468</v>
      </c>
      <c r="S50" s="13" t="s">
        <v>358</v>
      </c>
      <c r="T50" s="13" t="s">
        <v>396</v>
      </c>
      <c r="U50" s="13" t="s">
        <v>383</v>
      </c>
      <c r="V50" s="13" t="s">
        <v>371</v>
      </c>
      <c r="W50" s="13" t="s">
        <v>309</v>
      </c>
      <c r="X50" s="13">
        <v>6176383634</v>
      </c>
      <c r="Y50" s="13">
        <v>21</v>
      </c>
      <c r="Z50" s="13" t="s">
        <v>298</v>
      </c>
      <c r="AA50" s="13" t="s">
        <v>397</v>
      </c>
      <c r="AB50" s="14">
        <v>44939</v>
      </c>
      <c r="AC50" s="13">
        <v>1595.67</v>
      </c>
      <c r="AD50" s="13" t="s">
        <v>311</v>
      </c>
      <c r="AE50" s="13" t="s">
        <v>363</v>
      </c>
    </row>
    <row r="51" spans="1:31" x14ac:dyDescent="0.3">
      <c r="A51" s="16" t="s">
        <v>97</v>
      </c>
      <c r="B51" s="16" t="s">
        <v>21</v>
      </c>
      <c r="C51" s="16" t="s">
        <v>47</v>
      </c>
      <c r="D51" s="17">
        <v>45154</v>
      </c>
      <c r="E51" s="18">
        <v>0.625</v>
      </c>
      <c r="F51" s="16" t="s">
        <v>11</v>
      </c>
      <c r="G51" s="16" t="s">
        <v>8</v>
      </c>
      <c r="H51" s="16" t="s">
        <v>342</v>
      </c>
      <c r="I51" s="16" t="s">
        <v>343</v>
      </c>
      <c r="J51" s="16">
        <v>4279.38</v>
      </c>
      <c r="K51" s="17">
        <v>45154</v>
      </c>
      <c r="L51" s="16" t="s">
        <v>383</v>
      </c>
      <c r="M51" s="16" t="s">
        <v>366</v>
      </c>
      <c r="N51" s="16" t="s">
        <v>481</v>
      </c>
      <c r="O51" s="17">
        <v>24222</v>
      </c>
      <c r="P51" s="16">
        <v>7579616535</v>
      </c>
      <c r="Q51" s="16" t="s">
        <v>347</v>
      </c>
      <c r="R51" s="17">
        <v>44219</v>
      </c>
      <c r="S51" s="16" t="s">
        <v>358</v>
      </c>
      <c r="T51" s="16" t="s">
        <v>384</v>
      </c>
      <c r="U51" s="16" t="s">
        <v>383</v>
      </c>
      <c r="V51" s="16" t="s">
        <v>399</v>
      </c>
      <c r="W51" s="16" t="s">
        <v>308</v>
      </c>
      <c r="X51" s="16">
        <v>9069162601</v>
      </c>
      <c r="Y51" s="16">
        <v>5</v>
      </c>
      <c r="Z51" s="16" t="s">
        <v>299</v>
      </c>
      <c r="AA51" s="16" t="s">
        <v>385</v>
      </c>
      <c r="AB51" s="17">
        <v>45096</v>
      </c>
      <c r="AC51" s="16">
        <v>1381</v>
      </c>
      <c r="AD51" s="16" t="s">
        <v>317</v>
      </c>
      <c r="AE51" s="16" t="s">
        <v>352</v>
      </c>
    </row>
    <row r="52" spans="1:31" x14ac:dyDescent="0.3">
      <c r="A52" s="13" t="s">
        <v>98</v>
      </c>
      <c r="B52" s="13" t="s">
        <v>99</v>
      </c>
      <c r="C52" s="13" t="s">
        <v>15</v>
      </c>
      <c r="D52" s="14">
        <v>44961</v>
      </c>
      <c r="E52" s="15">
        <v>0.48958333333333331</v>
      </c>
      <c r="F52" s="13" t="s">
        <v>22</v>
      </c>
      <c r="G52" s="13" t="s">
        <v>34</v>
      </c>
      <c r="H52" s="13" t="s">
        <v>377</v>
      </c>
      <c r="I52" s="13" t="s">
        <v>364</v>
      </c>
      <c r="J52" s="13">
        <v>4550.1000000000004</v>
      </c>
      <c r="K52" s="14">
        <v>44961</v>
      </c>
      <c r="L52" s="13" t="s">
        <v>390</v>
      </c>
      <c r="M52" s="13" t="s">
        <v>432</v>
      </c>
      <c r="N52" s="13" t="s">
        <v>481</v>
      </c>
      <c r="O52" s="14">
        <v>29637</v>
      </c>
      <c r="P52" s="13">
        <v>9019443432</v>
      </c>
      <c r="Q52" s="13" t="s">
        <v>357</v>
      </c>
      <c r="R52" s="14">
        <v>44257</v>
      </c>
      <c r="S52" s="13" t="s">
        <v>372</v>
      </c>
      <c r="T52" s="13" t="s">
        <v>441</v>
      </c>
      <c r="U52" s="13" t="s">
        <v>344</v>
      </c>
      <c r="V52" s="13" t="s">
        <v>374</v>
      </c>
      <c r="W52" s="13" t="s">
        <v>310</v>
      </c>
      <c r="X52" s="13">
        <v>6570137231</v>
      </c>
      <c r="Y52" s="13">
        <v>23</v>
      </c>
      <c r="Z52" s="13" t="s">
        <v>297</v>
      </c>
      <c r="AA52" s="13" t="s">
        <v>442</v>
      </c>
      <c r="AB52" s="14">
        <v>44961</v>
      </c>
      <c r="AC52" s="13">
        <v>4550.1000000000004</v>
      </c>
      <c r="AD52" s="13" t="s">
        <v>316</v>
      </c>
      <c r="AE52" s="13" t="s">
        <v>376</v>
      </c>
    </row>
    <row r="53" spans="1:31" x14ac:dyDescent="0.3">
      <c r="A53" s="16" t="s">
        <v>100</v>
      </c>
      <c r="B53" s="16" t="s">
        <v>27</v>
      </c>
      <c r="C53" s="16" t="s">
        <v>47</v>
      </c>
      <c r="D53" s="17">
        <v>45119</v>
      </c>
      <c r="E53" s="18">
        <v>0.39583333333333331</v>
      </c>
      <c r="F53" s="16" t="s">
        <v>3</v>
      </c>
      <c r="G53" s="16" t="s">
        <v>8</v>
      </c>
      <c r="H53" s="16" t="s">
        <v>377</v>
      </c>
      <c r="I53" s="16" t="s">
        <v>354</v>
      </c>
      <c r="J53" s="16">
        <v>2090.4</v>
      </c>
      <c r="K53" s="17">
        <v>45119</v>
      </c>
      <c r="L53" s="16" t="s">
        <v>390</v>
      </c>
      <c r="M53" s="16" t="s">
        <v>391</v>
      </c>
      <c r="N53" s="16" t="s">
        <v>482</v>
      </c>
      <c r="O53" s="17">
        <v>36729</v>
      </c>
      <c r="P53" s="16">
        <v>7223380592</v>
      </c>
      <c r="Q53" s="16" t="s">
        <v>386</v>
      </c>
      <c r="R53" s="17">
        <v>44400</v>
      </c>
      <c r="S53" s="16" t="s">
        <v>367</v>
      </c>
      <c r="T53" s="16" t="s">
        <v>392</v>
      </c>
      <c r="U53" s="16" t="s">
        <v>383</v>
      </c>
      <c r="V53" s="16" t="s">
        <v>399</v>
      </c>
      <c r="W53" s="16" t="s">
        <v>308</v>
      </c>
      <c r="X53" s="16">
        <v>9069162601</v>
      </c>
      <c r="Y53" s="16">
        <v>5</v>
      </c>
      <c r="Z53" s="16" t="s">
        <v>299</v>
      </c>
      <c r="AA53" s="16" t="s">
        <v>393</v>
      </c>
      <c r="AB53" s="17">
        <v>45070</v>
      </c>
      <c r="AC53" s="16">
        <v>3413.64</v>
      </c>
      <c r="AD53" s="16" t="s">
        <v>311</v>
      </c>
      <c r="AE53" s="16" t="s">
        <v>376</v>
      </c>
    </row>
    <row r="54" spans="1:31" x14ac:dyDescent="0.3">
      <c r="A54" s="13" t="s">
        <v>101</v>
      </c>
      <c r="B54" s="13" t="s">
        <v>102</v>
      </c>
      <c r="C54" s="13" t="s">
        <v>67</v>
      </c>
      <c r="D54" s="14">
        <v>44969</v>
      </c>
      <c r="E54" s="15">
        <v>0.4375</v>
      </c>
      <c r="F54" s="13" t="s">
        <v>22</v>
      </c>
      <c r="G54" s="13" t="s">
        <v>12</v>
      </c>
      <c r="H54" s="13" t="s">
        <v>342</v>
      </c>
      <c r="I54" s="13" t="s">
        <v>364</v>
      </c>
      <c r="J54" s="13">
        <v>1565.92</v>
      </c>
      <c r="K54" s="14">
        <v>44969</v>
      </c>
      <c r="L54" s="13" t="s">
        <v>350</v>
      </c>
      <c r="M54" s="13" t="s">
        <v>399</v>
      </c>
      <c r="N54" s="13" t="s">
        <v>481</v>
      </c>
      <c r="O54" s="14">
        <v>33546</v>
      </c>
      <c r="P54" s="13">
        <v>7196777444</v>
      </c>
      <c r="Q54" s="13" t="s">
        <v>347</v>
      </c>
      <c r="R54" s="14">
        <v>44441</v>
      </c>
      <c r="S54" s="13" t="s">
        <v>348</v>
      </c>
      <c r="T54" s="13" t="s">
        <v>443</v>
      </c>
      <c r="U54" s="13" t="s">
        <v>350</v>
      </c>
      <c r="V54" s="13" t="s">
        <v>391</v>
      </c>
      <c r="W54" s="13" t="s">
        <v>308</v>
      </c>
      <c r="X54" s="13">
        <v>9118538547</v>
      </c>
      <c r="Y54" s="13">
        <v>26</v>
      </c>
      <c r="Z54" s="13" t="s">
        <v>297</v>
      </c>
      <c r="AA54" s="13" t="s">
        <v>444</v>
      </c>
      <c r="AB54" s="14">
        <v>44969</v>
      </c>
      <c r="AC54" s="13">
        <v>1565.92</v>
      </c>
      <c r="AD54" s="13" t="s">
        <v>317</v>
      </c>
      <c r="AE54" s="13" t="s">
        <v>352</v>
      </c>
    </row>
    <row r="55" spans="1:31" x14ac:dyDescent="0.3">
      <c r="A55" s="16" t="s">
        <v>103</v>
      </c>
      <c r="B55" s="16" t="s">
        <v>27</v>
      </c>
      <c r="C55" s="16" t="s">
        <v>47</v>
      </c>
      <c r="D55" s="17">
        <v>45276</v>
      </c>
      <c r="E55" s="18">
        <v>0.48958333333333331</v>
      </c>
      <c r="F55" s="16" t="s">
        <v>31</v>
      </c>
      <c r="G55" s="16" t="s">
        <v>4</v>
      </c>
      <c r="H55" s="16" t="s">
        <v>389</v>
      </c>
      <c r="I55" s="16" t="s">
        <v>364</v>
      </c>
      <c r="J55" s="16">
        <v>4012.36</v>
      </c>
      <c r="K55" s="17">
        <v>45276</v>
      </c>
      <c r="L55" s="16" t="s">
        <v>390</v>
      </c>
      <c r="M55" s="16" t="s">
        <v>391</v>
      </c>
      <c r="N55" s="16" t="s">
        <v>482</v>
      </c>
      <c r="O55" s="17">
        <v>36729</v>
      </c>
      <c r="P55" s="16">
        <v>7223380592</v>
      </c>
      <c r="Q55" s="16" t="s">
        <v>386</v>
      </c>
      <c r="R55" s="17">
        <v>44400</v>
      </c>
      <c r="S55" s="16" t="s">
        <v>367</v>
      </c>
      <c r="T55" s="16" t="s">
        <v>392</v>
      </c>
      <c r="U55" s="16" t="s">
        <v>383</v>
      </c>
      <c r="V55" s="16" t="s">
        <v>399</v>
      </c>
      <c r="W55" s="16" t="s">
        <v>308</v>
      </c>
      <c r="X55" s="16">
        <v>9069162601</v>
      </c>
      <c r="Y55" s="16">
        <v>5</v>
      </c>
      <c r="Z55" s="16" t="s">
        <v>299</v>
      </c>
      <c r="AA55" s="16" t="s">
        <v>393</v>
      </c>
      <c r="AB55" s="17">
        <v>45070</v>
      </c>
      <c r="AC55" s="16">
        <v>3413.64</v>
      </c>
      <c r="AD55" s="16" t="s">
        <v>311</v>
      </c>
      <c r="AE55" s="16" t="s">
        <v>376</v>
      </c>
    </row>
    <row r="56" spans="1:31" x14ac:dyDescent="0.3">
      <c r="A56" s="13" t="s">
        <v>104</v>
      </c>
      <c r="B56" s="13" t="s">
        <v>105</v>
      </c>
      <c r="C56" s="13" t="s">
        <v>28</v>
      </c>
      <c r="D56" s="14">
        <v>45205</v>
      </c>
      <c r="E56" s="15">
        <v>0.72916666666666663</v>
      </c>
      <c r="F56" s="13" t="s">
        <v>22</v>
      </c>
      <c r="G56" s="13" t="s">
        <v>4</v>
      </c>
      <c r="H56" s="13" t="s">
        <v>389</v>
      </c>
      <c r="I56" s="13" t="s">
        <v>343</v>
      </c>
      <c r="J56" s="13">
        <v>1736.63</v>
      </c>
      <c r="K56" s="14">
        <v>45205</v>
      </c>
      <c r="L56" s="13" t="s">
        <v>365</v>
      </c>
      <c r="M56" s="13" t="s">
        <v>345</v>
      </c>
      <c r="N56" s="13" t="s">
        <v>481</v>
      </c>
      <c r="O56" s="14">
        <v>30967</v>
      </c>
      <c r="P56" s="13">
        <v>8228188767</v>
      </c>
      <c r="Q56" s="13" t="s">
        <v>347</v>
      </c>
      <c r="R56" s="14">
        <v>44576</v>
      </c>
      <c r="S56" s="13" t="s">
        <v>367</v>
      </c>
      <c r="T56" s="13" t="s">
        <v>445</v>
      </c>
      <c r="U56" s="13" t="s">
        <v>383</v>
      </c>
      <c r="V56" s="13" t="s">
        <v>371</v>
      </c>
      <c r="W56" s="13" t="s">
        <v>309</v>
      </c>
      <c r="X56" s="13">
        <v>6176383634</v>
      </c>
      <c r="Y56" s="13">
        <v>21</v>
      </c>
      <c r="Z56" s="13" t="s">
        <v>298</v>
      </c>
      <c r="AA56" s="13" t="s">
        <v>446</v>
      </c>
      <c r="AB56" s="14">
        <v>45205</v>
      </c>
      <c r="AC56" s="13">
        <v>1736.63</v>
      </c>
      <c r="AD56" s="13" t="s">
        <v>311</v>
      </c>
      <c r="AE56" s="13" t="s">
        <v>376</v>
      </c>
    </row>
    <row r="57" spans="1:31" x14ac:dyDescent="0.3">
      <c r="A57" s="16" t="s">
        <v>106</v>
      </c>
      <c r="B57" s="16" t="s">
        <v>61</v>
      </c>
      <c r="C57" s="16" t="s">
        <v>7</v>
      </c>
      <c r="D57" s="17">
        <v>44928</v>
      </c>
      <c r="E57" s="18">
        <v>0.53125</v>
      </c>
      <c r="F57" s="16" t="s">
        <v>22</v>
      </c>
      <c r="G57" s="16" t="s">
        <v>4</v>
      </c>
      <c r="H57" s="16" t="s">
        <v>413</v>
      </c>
      <c r="I57" s="16" t="s">
        <v>343</v>
      </c>
      <c r="J57" s="16">
        <v>4201.76</v>
      </c>
      <c r="K57" s="17">
        <v>44928</v>
      </c>
      <c r="L57" s="16" t="s">
        <v>360</v>
      </c>
      <c r="M57" s="16" t="s">
        <v>355</v>
      </c>
      <c r="N57" s="16" t="s">
        <v>482</v>
      </c>
      <c r="O57" s="17">
        <v>26629</v>
      </c>
      <c r="P57" s="16">
        <v>7712937941</v>
      </c>
      <c r="Q57" s="16" t="s">
        <v>347</v>
      </c>
      <c r="R57" s="17">
        <v>45091</v>
      </c>
      <c r="S57" s="16" t="s">
        <v>358</v>
      </c>
      <c r="T57" s="16" t="s">
        <v>420</v>
      </c>
      <c r="U57" s="16" t="s">
        <v>360</v>
      </c>
      <c r="V57" s="16" t="s">
        <v>361</v>
      </c>
      <c r="W57" s="16" t="s">
        <v>310</v>
      </c>
      <c r="X57" s="16">
        <v>6594221991</v>
      </c>
      <c r="Y57" s="16">
        <v>28</v>
      </c>
      <c r="Z57" s="16" t="s">
        <v>297</v>
      </c>
      <c r="AA57" s="16" t="s">
        <v>421</v>
      </c>
      <c r="AB57" s="17">
        <v>45098</v>
      </c>
      <c r="AC57" s="16">
        <v>3722.68</v>
      </c>
      <c r="AD57" s="16" t="s">
        <v>311</v>
      </c>
      <c r="AE57" s="16" t="s">
        <v>352</v>
      </c>
    </row>
    <row r="58" spans="1:31" x14ac:dyDescent="0.3">
      <c r="A58" s="13" t="s">
        <v>107</v>
      </c>
      <c r="B58" s="13" t="s">
        <v>56</v>
      </c>
      <c r="C58" s="13" t="s">
        <v>28</v>
      </c>
      <c r="D58" s="14">
        <v>45031</v>
      </c>
      <c r="E58" s="15">
        <v>0.73958333333333337</v>
      </c>
      <c r="F58" s="13" t="s">
        <v>19</v>
      </c>
      <c r="G58" s="13" t="s">
        <v>34</v>
      </c>
      <c r="H58" s="13" t="s">
        <v>353</v>
      </c>
      <c r="I58" s="13" t="s">
        <v>354</v>
      </c>
      <c r="J58" s="13">
        <v>2406.8200000000002</v>
      </c>
      <c r="K58" s="14">
        <v>45031</v>
      </c>
      <c r="L58" s="13" t="s">
        <v>344</v>
      </c>
      <c r="M58" s="13" t="s">
        <v>355</v>
      </c>
      <c r="N58" s="13" t="s">
        <v>482</v>
      </c>
      <c r="O58" s="14">
        <v>34072</v>
      </c>
      <c r="P58" s="13">
        <v>7028910482</v>
      </c>
      <c r="Q58" s="13" t="s">
        <v>347</v>
      </c>
      <c r="R58" s="14">
        <v>45066</v>
      </c>
      <c r="S58" s="13" t="s">
        <v>358</v>
      </c>
      <c r="T58" s="13" t="s">
        <v>416</v>
      </c>
      <c r="U58" s="13" t="s">
        <v>383</v>
      </c>
      <c r="V58" s="13" t="s">
        <v>371</v>
      </c>
      <c r="W58" s="13" t="s">
        <v>309</v>
      </c>
      <c r="X58" s="13">
        <v>6176383634</v>
      </c>
      <c r="Y58" s="13">
        <v>21</v>
      </c>
      <c r="Z58" s="13" t="s">
        <v>298</v>
      </c>
      <c r="AA58" s="13" t="s">
        <v>417</v>
      </c>
      <c r="AB58" s="14">
        <v>45040</v>
      </c>
      <c r="AC58" s="13">
        <v>2926.23</v>
      </c>
      <c r="AD58" s="13" t="s">
        <v>317</v>
      </c>
      <c r="AE58" s="13" t="s">
        <v>376</v>
      </c>
    </row>
    <row r="59" spans="1:31" x14ac:dyDescent="0.3">
      <c r="A59" s="16" t="s">
        <v>108</v>
      </c>
      <c r="B59" s="16" t="s">
        <v>6</v>
      </c>
      <c r="C59" s="16" t="s">
        <v>47</v>
      </c>
      <c r="D59" s="17">
        <v>45055</v>
      </c>
      <c r="E59" s="18">
        <v>0.55208333333333337</v>
      </c>
      <c r="F59" s="16" t="s">
        <v>11</v>
      </c>
      <c r="G59" s="16" t="s">
        <v>8</v>
      </c>
      <c r="H59" s="16" t="s">
        <v>389</v>
      </c>
      <c r="I59" s="16" t="s">
        <v>364</v>
      </c>
      <c r="J59" s="16">
        <v>3503.97</v>
      </c>
      <c r="K59" s="17">
        <v>45055</v>
      </c>
      <c r="L59" s="16" t="s">
        <v>344</v>
      </c>
      <c r="M59" s="16" t="s">
        <v>355</v>
      </c>
      <c r="N59" s="16" t="s">
        <v>482</v>
      </c>
      <c r="O59" s="17">
        <v>29594</v>
      </c>
      <c r="P59" s="16">
        <v>8102183595</v>
      </c>
      <c r="Q59" s="16" t="s">
        <v>357</v>
      </c>
      <c r="R59" s="17">
        <v>44471</v>
      </c>
      <c r="S59" s="16" t="s">
        <v>358</v>
      </c>
      <c r="T59" s="16" t="s">
        <v>359</v>
      </c>
      <c r="U59" s="16" t="s">
        <v>383</v>
      </c>
      <c r="V59" s="16" t="s">
        <v>399</v>
      </c>
      <c r="W59" s="16" t="s">
        <v>308</v>
      </c>
      <c r="X59" s="16">
        <v>9069162601</v>
      </c>
      <c r="Y59" s="16">
        <v>5</v>
      </c>
      <c r="Z59" s="16" t="s">
        <v>299</v>
      </c>
      <c r="AA59" s="16" t="s">
        <v>362</v>
      </c>
      <c r="AB59" s="17">
        <v>45086</v>
      </c>
      <c r="AC59" s="16">
        <v>4158.4399999999996</v>
      </c>
      <c r="AD59" s="16" t="s">
        <v>317</v>
      </c>
      <c r="AE59" s="16" t="s">
        <v>363</v>
      </c>
    </row>
    <row r="60" spans="1:31" x14ac:dyDescent="0.3">
      <c r="A60" s="13" t="s">
        <v>109</v>
      </c>
      <c r="B60" s="13" t="s">
        <v>110</v>
      </c>
      <c r="C60" s="13" t="s">
        <v>28</v>
      </c>
      <c r="D60" s="14">
        <v>44994</v>
      </c>
      <c r="E60" s="15">
        <v>0.64583333333333337</v>
      </c>
      <c r="F60" s="13" t="s">
        <v>3</v>
      </c>
      <c r="G60" s="13" t="s">
        <v>12</v>
      </c>
      <c r="H60" s="13" t="s">
        <v>377</v>
      </c>
      <c r="I60" s="13" t="s">
        <v>364</v>
      </c>
      <c r="J60" s="13">
        <v>929.91</v>
      </c>
      <c r="K60" s="14">
        <v>44994</v>
      </c>
      <c r="L60" s="13" t="s">
        <v>383</v>
      </c>
      <c r="M60" s="13" t="s">
        <v>355</v>
      </c>
      <c r="N60" s="13" t="s">
        <v>481</v>
      </c>
      <c r="O60" s="14">
        <v>35975</v>
      </c>
      <c r="P60" s="13">
        <v>8724518272</v>
      </c>
      <c r="Q60" s="13" t="s">
        <v>347</v>
      </c>
      <c r="R60" s="14">
        <v>44423</v>
      </c>
      <c r="S60" s="13" t="s">
        <v>372</v>
      </c>
      <c r="T60" s="13" t="s">
        <v>447</v>
      </c>
      <c r="U60" s="13" t="s">
        <v>383</v>
      </c>
      <c r="V60" s="13" t="s">
        <v>371</v>
      </c>
      <c r="W60" s="13" t="s">
        <v>309</v>
      </c>
      <c r="X60" s="13">
        <v>6176383634</v>
      </c>
      <c r="Y60" s="13">
        <v>21</v>
      </c>
      <c r="Z60" s="13" t="s">
        <v>298</v>
      </c>
      <c r="AA60" s="13" t="s">
        <v>448</v>
      </c>
      <c r="AB60" s="14">
        <v>44994</v>
      </c>
      <c r="AC60" s="13">
        <v>929.91</v>
      </c>
      <c r="AD60" s="13" t="s">
        <v>311</v>
      </c>
      <c r="AE60" s="13" t="s">
        <v>352</v>
      </c>
    </row>
    <row r="61" spans="1:31" x14ac:dyDescent="0.3">
      <c r="A61" s="16" t="s">
        <v>111</v>
      </c>
      <c r="B61" s="16" t="s">
        <v>112</v>
      </c>
      <c r="C61" s="16" t="s">
        <v>41</v>
      </c>
      <c r="D61" s="17">
        <v>45252</v>
      </c>
      <c r="E61" s="18">
        <v>0.71875</v>
      </c>
      <c r="F61" s="16" t="s">
        <v>22</v>
      </c>
      <c r="G61" s="16" t="s">
        <v>8</v>
      </c>
      <c r="H61" s="16" t="s">
        <v>389</v>
      </c>
      <c r="I61" s="16" t="s">
        <v>343</v>
      </c>
      <c r="J61" s="16">
        <v>3307.37</v>
      </c>
      <c r="K61" s="17">
        <v>45252</v>
      </c>
      <c r="L61" s="16" t="s">
        <v>381</v>
      </c>
      <c r="M61" s="16" t="s">
        <v>355</v>
      </c>
      <c r="N61" s="16" t="s">
        <v>481</v>
      </c>
      <c r="O61" s="17">
        <v>37778</v>
      </c>
      <c r="P61" s="16">
        <v>8158989953</v>
      </c>
      <c r="Q61" s="16" t="s">
        <v>386</v>
      </c>
      <c r="R61" s="17">
        <v>44654</v>
      </c>
      <c r="S61" s="16" t="s">
        <v>358</v>
      </c>
      <c r="T61" s="16" t="s">
        <v>449</v>
      </c>
      <c r="U61" s="16" t="s">
        <v>381</v>
      </c>
      <c r="V61" s="16" t="s">
        <v>374</v>
      </c>
      <c r="W61" s="16" t="s">
        <v>310</v>
      </c>
      <c r="X61" s="16">
        <v>9004382050</v>
      </c>
      <c r="Y61" s="16">
        <v>24</v>
      </c>
      <c r="Z61" s="16" t="s">
        <v>298</v>
      </c>
      <c r="AA61" s="16" t="s">
        <v>450</v>
      </c>
      <c r="AB61" s="17">
        <v>45252</v>
      </c>
      <c r="AC61" s="16">
        <v>3307.37</v>
      </c>
      <c r="AD61" s="16" t="s">
        <v>317</v>
      </c>
      <c r="AE61" s="16" t="s">
        <v>352</v>
      </c>
    </row>
    <row r="62" spans="1:31" x14ac:dyDescent="0.3">
      <c r="A62" s="13" t="s">
        <v>113</v>
      </c>
      <c r="B62" s="13" t="s">
        <v>102</v>
      </c>
      <c r="C62" s="13" t="s">
        <v>67</v>
      </c>
      <c r="D62" s="14">
        <v>44941</v>
      </c>
      <c r="E62" s="15">
        <v>0.70833333333333337</v>
      </c>
      <c r="F62" s="13" t="s">
        <v>3</v>
      </c>
      <c r="G62" s="13" t="s">
        <v>8</v>
      </c>
      <c r="H62" s="13" t="s">
        <v>413</v>
      </c>
      <c r="I62" s="13" t="s">
        <v>364</v>
      </c>
      <c r="J62" s="13">
        <v>2532.9499999999998</v>
      </c>
      <c r="K62" s="14">
        <v>44941</v>
      </c>
      <c r="L62" s="13" t="s">
        <v>350</v>
      </c>
      <c r="M62" s="13" t="s">
        <v>399</v>
      </c>
      <c r="N62" s="13" t="s">
        <v>481</v>
      </c>
      <c r="O62" s="14">
        <v>33546</v>
      </c>
      <c r="P62" s="13">
        <v>7196777444</v>
      </c>
      <c r="Q62" s="13" t="s">
        <v>347</v>
      </c>
      <c r="R62" s="14">
        <v>44441</v>
      </c>
      <c r="S62" s="13" t="s">
        <v>348</v>
      </c>
      <c r="T62" s="13" t="s">
        <v>443</v>
      </c>
      <c r="U62" s="13" t="s">
        <v>350</v>
      </c>
      <c r="V62" s="13" t="s">
        <v>391</v>
      </c>
      <c r="W62" s="13" t="s">
        <v>308</v>
      </c>
      <c r="X62" s="13">
        <v>9118538547</v>
      </c>
      <c r="Y62" s="13">
        <v>26</v>
      </c>
      <c r="Z62" s="13" t="s">
        <v>297</v>
      </c>
      <c r="AA62" s="13" t="s">
        <v>444</v>
      </c>
      <c r="AB62" s="14">
        <v>44969</v>
      </c>
      <c r="AC62" s="13">
        <v>1565.92</v>
      </c>
      <c r="AD62" s="13" t="s">
        <v>317</v>
      </c>
      <c r="AE62" s="13" t="s">
        <v>352</v>
      </c>
    </row>
    <row r="63" spans="1:31" x14ac:dyDescent="0.3">
      <c r="A63" s="16" t="s">
        <v>114</v>
      </c>
      <c r="B63" s="16" t="s">
        <v>43</v>
      </c>
      <c r="C63" s="16" t="s">
        <v>2</v>
      </c>
      <c r="D63" s="17">
        <v>45091</v>
      </c>
      <c r="E63" s="18">
        <v>0.63541666666666663</v>
      </c>
      <c r="F63" s="16" t="s">
        <v>22</v>
      </c>
      <c r="G63" s="16" t="s">
        <v>8</v>
      </c>
      <c r="H63" s="16" t="s">
        <v>413</v>
      </c>
      <c r="I63" s="16" t="s">
        <v>364</v>
      </c>
      <c r="J63" s="16">
        <v>3139.74</v>
      </c>
      <c r="K63" s="17">
        <v>45091</v>
      </c>
      <c r="L63" s="16" t="s">
        <v>404</v>
      </c>
      <c r="M63" s="16" t="s">
        <v>374</v>
      </c>
      <c r="N63" s="16" t="s">
        <v>481</v>
      </c>
      <c r="O63" s="17">
        <v>33580</v>
      </c>
      <c r="P63" s="16">
        <v>8135666049</v>
      </c>
      <c r="Q63" s="16" t="s">
        <v>347</v>
      </c>
      <c r="R63" s="17">
        <v>45043</v>
      </c>
      <c r="S63" s="16" t="s">
        <v>358</v>
      </c>
      <c r="T63" s="16" t="s">
        <v>407</v>
      </c>
      <c r="U63" s="16" t="s">
        <v>350</v>
      </c>
      <c r="V63" s="16" t="s">
        <v>345</v>
      </c>
      <c r="W63" s="16" t="s">
        <v>310</v>
      </c>
      <c r="X63" s="16">
        <v>7387087517</v>
      </c>
      <c r="Y63" s="16">
        <v>26</v>
      </c>
      <c r="Z63" s="16" t="s">
        <v>297</v>
      </c>
      <c r="AA63" s="16" t="s">
        <v>408</v>
      </c>
      <c r="AB63" s="17">
        <v>45071</v>
      </c>
      <c r="AC63" s="16">
        <v>2082.3000000000002</v>
      </c>
      <c r="AD63" s="16" t="s">
        <v>316</v>
      </c>
      <c r="AE63" s="16" t="s">
        <v>363</v>
      </c>
    </row>
    <row r="64" spans="1:31" x14ac:dyDescent="0.3">
      <c r="A64" s="13" t="s">
        <v>115</v>
      </c>
      <c r="B64" s="13" t="s">
        <v>116</v>
      </c>
      <c r="C64" s="13" t="s">
        <v>7</v>
      </c>
      <c r="D64" s="14">
        <v>45106</v>
      </c>
      <c r="E64" s="15">
        <v>0.375</v>
      </c>
      <c r="F64" s="13" t="s">
        <v>31</v>
      </c>
      <c r="G64" s="13" t="s">
        <v>4</v>
      </c>
      <c r="H64" s="13" t="s">
        <v>353</v>
      </c>
      <c r="I64" s="13" t="s">
        <v>364</v>
      </c>
      <c r="J64" s="13">
        <v>1256.06</v>
      </c>
      <c r="K64" s="14">
        <v>45106</v>
      </c>
      <c r="L64" s="13" t="s">
        <v>404</v>
      </c>
      <c r="M64" s="13" t="s">
        <v>371</v>
      </c>
      <c r="N64" s="13" t="s">
        <v>482</v>
      </c>
      <c r="O64" s="14">
        <v>34330</v>
      </c>
      <c r="P64" s="13">
        <v>8301134730</v>
      </c>
      <c r="Q64" s="13" t="s">
        <v>347</v>
      </c>
      <c r="R64" s="14">
        <v>45044</v>
      </c>
      <c r="S64" s="13" t="s">
        <v>348</v>
      </c>
      <c r="T64" s="13" t="s">
        <v>451</v>
      </c>
      <c r="U64" s="13" t="s">
        <v>360</v>
      </c>
      <c r="V64" s="13" t="s">
        <v>361</v>
      </c>
      <c r="W64" s="13" t="s">
        <v>310</v>
      </c>
      <c r="X64" s="13">
        <v>6594221991</v>
      </c>
      <c r="Y64" s="13">
        <v>28</v>
      </c>
      <c r="Z64" s="13" t="s">
        <v>297</v>
      </c>
      <c r="AA64" s="13" t="s">
        <v>452</v>
      </c>
      <c r="AB64" s="14">
        <v>45106</v>
      </c>
      <c r="AC64" s="13">
        <v>1256.06</v>
      </c>
      <c r="AD64" s="13" t="s">
        <v>317</v>
      </c>
      <c r="AE64" s="13" t="s">
        <v>376</v>
      </c>
    </row>
    <row r="65" spans="1:31" x14ac:dyDescent="0.3">
      <c r="A65" s="16" t="s">
        <v>117</v>
      </c>
      <c r="B65" s="16" t="s">
        <v>118</v>
      </c>
      <c r="C65" s="16" t="s">
        <v>15</v>
      </c>
      <c r="D65" s="17">
        <v>45077</v>
      </c>
      <c r="E65" s="18">
        <v>0.35416666666666669</v>
      </c>
      <c r="F65" s="16" t="s">
        <v>22</v>
      </c>
      <c r="G65" s="16" t="s">
        <v>12</v>
      </c>
      <c r="H65" s="16" t="s">
        <v>389</v>
      </c>
      <c r="I65" s="16" t="s">
        <v>343</v>
      </c>
      <c r="J65" s="16">
        <v>3815.93</v>
      </c>
      <c r="K65" s="17">
        <v>45077</v>
      </c>
      <c r="L65" s="16" t="s">
        <v>360</v>
      </c>
      <c r="M65" s="16" t="s">
        <v>371</v>
      </c>
      <c r="N65" s="16" t="s">
        <v>481</v>
      </c>
      <c r="O65" s="17">
        <v>34072</v>
      </c>
      <c r="P65" s="16">
        <v>7039619487</v>
      </c>
      <c r="Q65" s="16" t="s">
        <v>357</v>
      </c>
      <c r="R65" s="17">
        <v>45116</v>
      </c>
      <c r="S65" s="16" t="s">
        <v>358</v>
      </c>
      <c r="T65" s="16" t="s">
        <v>453</v>
      </c>
      <c r="U65" s="16" t="s">
        <v>344</v>
      </c>
      <c r="V65" s="16" t="s">
        <v>374</v>
      </c>
      <c r="W65" s="16" t="s">
        <v>310</v>
      </c>
      <c r="X65" s="16">
        <v>6570137231</v>
      </c>
      <c r="Y65" s="16">
        <v>23</v>
      </c>
      <c r="Z65" s="16" t="s">
        <v>297</v>
      </c>
      <c r="AA65" s="16" t="s">
        <v>454</v>
      </c>
      <c r="AB65" s="17">
        <v>45077</v>
      </c>
      <c r="AC65" s="16">
        <v>3815.93</v>
      </c>
      <c r="AD65" s="16" t="s">
        <v>311</v>
      </c>
      <c r="AE65" s="16" t="s">
        <v>363</v>
      </c>
    </row>
    <row r="66" spans="1:31" x14ac:dyDescent="0.3">
      <c r="A66" s="13" t="s">
        <v>119</v>
      </c>
      <c r="B66" s="13" t="s">
        <v>79</v>
      </c>
      <c r="C66" s="13" t="s">
        <v>52</v>
      </c>
      <c r="D66" s="14">
        <v>45040</v>
      </c>
      <c r="E66" s="15">
        <v>0.65625</v>
      </c>
      <c r="F66" s="13" t="s">
        <v>19</v>
      </c>
      <c r="G66" s="13" t="s">
        <v>12</v>
      </c>
      <c r="H66" s="13" t="s">
        <v>377</v>
      </c>
      <c r="I66" s="13" t="s">
        <v>354</v>
      </c>
      <c r="J66" s="13">
        <v>4382.59</v>
      </c>
      <c r="K66" s="14">
        <v>45040</v>
      </c>
      <c r="L66" s="13" t="s">
        <v>390</v>
      </c>
      <c r="M66" s="13" t="s">
        <v>371</v>
      </c>
      <c r="N66" s="13" t="s">
        <v>481</v>
      </c>
      <c r="O66" s="14">
        <v>25605</v>
      </c>
      <c r="P66" s="13">
        <v>7923214041</v>
      </c>
      <c r="Q66" s="13" t="s">
        <v>386</v>
      </c>
      <c r="R66" s="14">
        <v>45175</v>
      </c>
      <c r="S66" s="13" t="s">
        <v>358</v>
      </c>
      <c r="T66" s="13" t="s">
        <v>430</v>
      </c>
      <c r="U66" s="13" t="s">
        <v>360</v>
      </c>
      <c r="V66" s="13" t="s">
        <v>391</v>
      </c>
      <c r="W66" s="13" t="s">
        <v>308</v>
      </c>
      <c r="X66" s="13">
        <v>8322010158</v>
      </c>
      <c r="Y66" s="13">
        <v>17</v>
      </c>
      <c r="Z66" s="13" t="s">
        <v>299</v>
      </c>
      <c r="AA66" s="13" t="s">
        <v>431</v>
      </c>
      <c r="AB66" s="14">
        <v>44934</v>
      </c>
      <c r="AC66" s="13">
        <v>4833.17</v>
      </c>
      <c r="AD66" s="13" t="s">
        <v>311</v>
      </c>
      <c r="AE66" s="13" t="s">
        <v>352</v>
      </c>
    </row>
    <row r="67" spans="1:31" x14ac:dyDescent="0.3">
      <c r="A67" s="16" t="s">
        <v>120</v>
      </c>
      <c r="B67" s="16" t="s">
        <v>79</v>
      </c>
      <c r="C67" s="16" t="s">
        <v>2</v>
      </c>
      <c r="D67" s="17">
        <v>45056</v>
      </c>
      <c r="E67" s="18">
        <v>0.48958333333333331</v>
      </c>
      <c r="F67" s="16" t="s">
        <v>11</v>
      </c>
      <c r="G67" s="16" t="s">
        <v>8</v>
      </c>
      <c r="H67" s="16" t="s">
        <v>377</v>
      </c>
      <c r="I67" s="16" t="s">
        <v>354</v>
      </c>
      <c r="J67" s="16">
        <v>1475.33</v>
      </c>
      <c r="K67" s="17">
        <v>45056</v>
      </c>
      <c r="L67" s="16" t="s">
        <v>390</v>
      </c>
      <c r="M67" s="16" t="s">
        <v>371</v>
      </c>
      <c r="N67" s="16" t="s">
        <v>481</v>
      </c>
      <c r="O67" s="17">
        <v>25605</v>
      </c>
      <c r="P67" s="16">
        <v>7923214041</v>
      </c>
      <c r="Q67" s="16" t="s">
        <v>386</v>
      </c>
      <c r="R67" s="17">
        <v>45175</v>
      </c>
      <c r="S67" s="16" t="s">
        <v>358</v>
      </c>
      <c r="T67" s="16" t="s">
        <v>430</v>
      </c>
      <c r="U67" s="16" t="s">
        <v>350</v>
      </c>
      <c r="V67" s="16" t="s">
        <v>345</v>
      </c>
      <c r="W67" s="16" t="s">
        <v>310</v>
      </c>
      <c r="X67" s="16">
        <v>7387087517</v>
      </c>
      <c r="Y67" s="16">
        <v>26</v>
      </c>
      <c r="Z67" s="16" t="s">
        <v>297</v>
      </c>
      <c r="AA67" s="16" t="s">
        <v>431</v>
      </c>
      <c r="AB67" s="17">
        <v>44934</v>
      </c>
      <c r="AC67" s="16">
        <v>4833.17</v>
      </c>
      <c r="AD67" s="16" t="s">
        <v>311</v>
      </c>
      <c r="AE67" s="16" t="s">
        <v>352</v>
      </c>
    </row>
    <row r="68" spans="1:31" x14ac:dyDescent="0.3">
      <c r="A68" s="13" t="s">
        <v>121</v>
      </c>
      <c r="B68" s="13" t="s">
        <v>122</v>
      </c>
      <c r="C68" s="13" t="s">
        <v>52</v>
      </c>
      <c r="D68" s="14">
        <v>45148</v>
      </c>
      <c r="E68" s="15">
        <v>0.45833333333333331</v>
      </c>
      <c r="F68" s="13" t="s">
        <v>31</v>
      </c>
      <c r="G68" s="13" t="s">
        <v>4</v>
      </c>
      <c r="H68" s="13" t="s">
        <v>342</v>
      </c>
      <c r="I68" s="13" t="s">
        <v>364</v>
      </c>
      <c r="J68" s="13">
        <v>930.72</v>
      </c>
      <c r="K68" s="14">
        <v>45148</v>
      </c>
      <c r="L68" s="13" t="s">
        <v>383</v>
      </c>
      <c r="M68" s="13" t="s">
        <v>399</v>
      </c>
      <c r="N68" s="13" t="s">
        <v>482</v>
      </c>
      <c r="O68" s="14">
        <v>29305</v>
      </c>
      <c r="P68" s="13">
        <v>9127665406</v>
      </c>
      <c r="Q68" s="13" t="s">
        <v>386</v>
      </c>
      <c r="R68" s="14">
        <v>44760</v>
      </c>
      <c r="S68" s="13" t="s">
        <v>348</v>
      </c>
      <c r="T68" s="13" t="s">
        <v>455</v>
      </c>
      <c r="U68" s="13" t="s">
        <v>360</v>
      </c>
      <c r="V68" s="13" t="s">
        <v>391</v>
      </c>
      <c r="W68" s="13" t="s">
        <v>308</v>
      </c>
      <c r="X68" s="13">
        <v>8322010158</v>
      </c>
      <c r="Y68" s="13">
        <v>17</v>
      </c>
      <c r="Z68" s="13" t="s">
        <v>299</v>
      </c>
      <c r="AA68" s="13" t="s">
        <v>456</v>
      </c>
      <c r="AB68" s="14">
        <v>45148</v>
      </c>
      <c r="AC68" s="13">
        <v>930.72</v>
      </c>
      <c r="AD68" s="13" t="s">
        <v>316</v>
      </c>
      <c r="AE68" s="13" t="s">
        <v>352</v>
      </c>
    </row>
    <row r="69" spans="1:31" x14ac:dyDescent="0.3">
      <c r="A69" s="16" t="s">
        <v>123</v>
      </c>
      <c r="B69" s="16" t="s">
        <v>49</v>
      </c>
      <c r="C69" s="16" t="s">
        <v>67</v>
      </c>
      <c r="D69" s="17">
        <v>44999</v>
      </c>
      <c r="E69" s="18">
        <v>0.625</v>
      </c>
      <c r="F69" s="16" t="s">
        <v>22</v>
      </c>
      <c r="G69" s="16" t="s">
        <v>4</v>
      </c>
      <c r="H69" s="16" t="s">
        <v>377</v>
      </c>
      <c r="I69" s="16" t="s">
        <v>354</v>
      </c>
      <c r="J69" s="16">
        <v>606.37</v>
      </c>
      <c r="K69" s="17">
        <v>44999</v>
      </c>
      <c r="L69" s="16" t="s">
        <v>370</v>
      </c>
      <c r="M69" s="16" t="s">
        <v>378</v>
      </c>
      <c r="N69" s="16" t="s">
        <v>482</v>
      </c>
      <c r="O69" s="17">
        <v>36196</v>
      </c>
      <c r="P69" s="16">
        <v>8886800195</v>
      </c>
      <c r="Q69" s="16" t="s">
        <v>379</v>
      </c>
      <c r="R69" s="17">
        <v>44469</v>
      </c>
      <c r="S69" s="16" t="s">
        <v>372</v>
      </c>
      <c r="T69" s="16" t="s">
        <v>411</v>
      </c>
      <c r="U69" s="16" t="s">
        <v>350</v>
      </c>
      <c r="V69" s="16" t="s">
        <v>391</v>
      </c>
      <c r="W69" s="16" t="s">
        <v>308</v>
      </c>
      <c r="X69" s="16">
        <v>9118538547</v>
      </c>
      <c r="Y69" s="16">
        <v>26</v>
      </c>
      <c r="Z69" s="16" t="s">
        <v>297</v>
      </c>
      <c r="AA69" s="16" t="s">
        <v>412</v>
      </c>
      <c r="AB69" s="17">
        <v>45118</v>
      </c>
      <c r="AC69" s="16">
        <v>1655.49</v>
      </c>
      <c r="AD69" s="16" t="s">
        <v>316</v>
      </c>
      <c r="AE69" s="16" t="s">
        <v>352</v>
      </c>
    </row>
    <row r="70" spans="1:31" x14ac:dyDescent="0.3">
      <c r="A70" s="13" t="s">
        <v>124</v>
      </c>
      <c r="B70" s="13" t="s">
        <v>43</v>
      </c>
      <c r="C70" s="13" t="s">
        <v>7</v>
      </c>
      <c r="D70" s="14">
        <v>45014</v>
      </c>
      <c r="E70" s="15">
        <v>0.64583333333333337</v>
      </c>
      <c r="F70" s="13" t="s">
        <v>3</v>
      </c>
      <c r="G70" s="13" t="s">
        <v>12</v>
      </c>
      <c r="H70" s="13" t="s">
        <v>353</v>
      </c>
      <c r="I70" s="13" t="s">
        <v>343</v>
      </c>
      <c r="J70" s="13">
        <v>3388.87</v>
      </c>
      <c r="K70" s="14">
        <v>45014</v>
      </c>
      <c r="L70" s="13" t="s">
        <v>404</v>
      </c>
      <c r="M70" s="13" t="s">
        <v>374</v>
      </c>
      <c r="N70" s="13" t="s">
        <v>481</v>
      </c>
      <c r="O70" s="14">
        <v>33580</v>
      </c>
      <c r="P70" s="13">
        <v>8135666049</v>
      </c>
      <c r="Q70" s="13" t="s">
        <v>347</v>
      </c>
      <c r="R70" s="14">
        <v>45043</v>
      </c>
      <c r="S70" s="13" t="s">
        <v>358</v>
      </c>
      <c r="T70" s="13" t="s">
        <v>407</v>
      </c>
      <c r="U70" s="13" t="s">
        <v>360</v>
      </c>
      <c r="V70" s="13" t="s">
        <v>361</v>
      </c>
      <c r="W70" s="13" t="s">
        <v>310</v>
      </c>
      <c r="X70" s="13">
        <v>6594221991</v>
      </c>
      <c r="Y70" s="13">
        <v>28</v>
      </c>
      <c r="Z70" s="13" t="s">
        <v>297</v>
      </c>
      <c r="AA70" s="13" t="s">
        <v>408</v>
      </c>
      <c r="AB70" s="14">
        <v>45071</v>
      </c>
      <c r="AC70" s="13">
        <v>2082.3000000000002</v>
      </c>
      <c r="AD70" s="13" t="s">
        <v>316</v>
      </c>
      <c r="AE70" s="13" t="s">
        <v>363</v>
      </c>
    </row>
    <row r="71" spans="1:31" x14ac:dyDescent="0.3">
      <c r="A71" s="16" t="s">
        <v>125</v>
      </c>
      <c r="B71" s="16" t="s">
        <v>40</v>
      </c>
      <c r="C71" s="16" t="s">
        <v>18</v>
      </c>
      <c r="D71" s="17">
        <v>45164</v>
      </c>
      <c r="E71" s="18">
        <v>0.70833333333333337</v>
      </c>
      <c r="F71" s="16" t="s">
        <v>31</v>
      </c>
      <c r="G71" s="16" t="s">
        <v>4</v>
      </c>
      <c r="H71" s="16" t="s">
        <v>353</v>
      </c>
      <c r="I71" s="16" t="s">
        <v>343</v>
      </c>
      <c r="J71" s="16">
        <v>3231.92</v>
      </c>
      <c r="K71" s="17">
        <v>45164</v>
      </c>
      <c r="L71" s="16" t="s">
        <v>404</v>
      </c>
      <c r="M71" s="16" t="s">
        <v>361</v>
      </c>
      <c r="N71" s="16" t="s">
        <v>482</v>
      </c>
      <c r="O71" s="17">
        <v>28358</v>
      </c>
      <c r="P71" s="16">
        <v>8397029847</v>
      </c>
      <c r="Q71" s="16" t="s">
        <v>347</v>
      </c>
      <c r="R71" s="17">
        <v>44599</v>
      </c>
      <c r="S71" s="16" t="s">
        <v>367</v>
      </c>
      <c r="T71" s="16" t="s">
        <v>405</v>
      </c>
      <c r="U71" s="16" t="s">
        <v>381</v>
      </c>
      <c r="V71" s="16" t="s">
        <v>345</v>
      </c>
      <c r="W71" s="16" t="s">
        <v>310</v>
      </c>
      <c r="X71" s="16">
        <v>8737740598</v>
      </c>
      <c r="Y71" s="16">
        <v>19</v>
      </c>
      <c r="Z71" s="16" t="s">
        <v>298</v>
      </c>
      <c r="AA71" s="16" t="s">
        <v>406</v>
      </c>
      <c r="AB71" s="17">
        <v>45154</v>
      </c>
      <c r="AC71" s="16">
        <v>4704.96</v>
      </c>
      <c r="AD71" s="16" t="s">
        <v>311</v>
      </c>
      <c r="AE71" s="16" t="s">
        <v>363</v>
      </c>
    </row>
    <row r="72" spans="1:31" x14ac:dyDescent="0.3">
      <c r="A72" s="13" t="s">
        <v>126</v>
      </c>
      <c r="B72" s="13" t="s">
        <v>24</v>
      </c>
      <c r="C72" s="13" t="s">
        <v>15</v>
      </c>
      <c r="D72" s="14">
        <v>44952</v>
      </c>
      <c r="E72" s="15">
        <v>0.70833333333333337</v>
      </c>
      <c r="F72" s="13" t="s">
        <v>31</v>
      </c>
      <c r="G72" s="13" t="s">
        <v>4</v>
      </c>
      <c r="H72" s="13" t="s">
        <v>377</v>
      </c>
      <c r="I72" s="13" t="s">
        <v>354</v>
      </c>
      <c r="J72" s="13">
        <v>2960.14</v>
      </c>
      <c r="K72" s="14">
        <v>44952</v>
      </c>
      <c r="L72" s="13" t="s">
        <v>360</v>
      </c>
      <c r="M72" s="13" t="s">
        <v>378</v>
      </c>
      <c r="N72" s="13" t="s">
        <v>481</v>
      </c>
      <c r="O72" s="14">
        <v>20244</v>
      </c>
      <c r="P72" s="13">
        <v>6939585183</v>
      </c>
      <c r="Q72" s="13" t="s">
        <v>386</v>
      </c>
      <c r="R72" s="14">
        <v>44735</v>
      </c>
      <c r="S72" s="13" t="s">
        <v>348</v>
      </c>
      <c r="T72" s="13" t="s">
        <v>387</v>
      </c>
      <c r="U72" s="13" t="s">
        <v>344</v>
      </c>
      <c r="V72" s="13" t="s">
        <v>374</v>
      </c>
      <c r="W72" s="13" t="s">
        <v>310</v>
      </c>
      <c r="X72" s="13">
        <v>6570137231</v>
      </c>
      <c r="Y72" s="13">
        <v>23</v>
      </c>
      <c r="Z72" s="13" t="s">
        <v>297</v>
      </c>
      <c r="AA72" s="13" t="s">
        <v>388</v>
      </c>
      <c r="AB72" s="14">
        <v>45025</v>
      </c>
      <c r="AC72" s="13">
        <v>534.03</v>
      </c>
      <c r="AD72" s="13" t="s">
        <v>311</v>
      </c>
      <c r="AE72" s="13" t="s">
        <v>376</v>
      </c>
    </row>
    <row r="73" spans="1:31" x14ac:dyDescent="0.3">
      <c r="A73" s="16" t="s">
        <v>127</v>
      </c>
      <c r="B73" s="16" t="s">
        <v>79</v>
      </c>
      <c r="C73" s="16" t="s">
        <v>41</v>
      </c>
      <c r="D73" s="17">
        <v>45089</v>
      </c>
      <c r="E73" s="18">
        <v>0.5625</v>
      </c>
      <c r="F73" s="16" t="s">
        <v>22</v>
      </c>
      <c r="G73" s="16" t="s">
        <v>4</v>
      </c>
      <c r="H73" s="16" t="s">
        <v>377</v>
      </c>
      <c r="I73" s="16" t="s">
        <v>354</v>
      </c>
      <c r="J73" s="16">
        <v>1543.76</v>
      </c>
      <c r="K73" s="17">
        <v>45089</v>
      </c>
      <c r="L73" s="16" t="s">
        <v>390</v>
      </c>
      <c r="M73" s="16" t="s">
        <v>371</v>
      </c>
      <c r="N73" s="16" t="s">
        <v>481</v>
      </c>
      <c r="O73" s="17">
        <v>25605</v>
      </c>
      <c r="P73" s="16">
        <v>7923214041</v>
      </c>
      <c r="Q73" s="16" t="s">
        <v>386</v>
      </c>
      <c r="R73" s="17">
        <v>45175</v>
      </c>
      <c r="S73" s="16" t="s">
        <v>358</v>
      </c>
      <c r="T73" s="16" t="s">
        <v>430</v>
      </c>
      <c r="U73" s="16" t="s">
        <v>381</v>
      </c>
      <c r="V73" s="16" t="s">
        <v>374</v>
      </c>
      <c r="W73" s="16" t="s">
        <v>310</v>
      </c>
      <c r="X73" s="16">
        <v>9004382050</v>
      </c>
      <c r="Y73" s="16">
        <v>24</v>
      </c>
      <c r="Z73" s="16" t="s">
        <v>298</v>
      </c>
      <c r="AA73" s="16" t="s">
        <v>431</v>
      </c>
      <c r="AB73" s="17">
        <v>44934</v>
      </c>
      <c r="AC73" s="16">
        <v>4833.17</v>
      </c>
      <c r="AD73" s="16" t="s">
        <v>311</v>
      </c>
      <c r="AE73" s="16" t="s">
        <v>352</v>
      </c>
    </row>
    <row r="74" spans="1:31" x14ac:dyDescent="0.3">
      <c r="A74" s="13" t="s">
        <v>128</v>
      </c>
      <c r="B74" s="13" t="s">
        <v>17</v>
      </c>
      <c r="C74" s="13" t="s">
        <v>18</v>
      </c>
      <c r="D74" s="14">
        <v>45284</v>
      </c>
      <c r="E74" s="15">
        <v>0.625</v>
      </c>
      <c r="F74" s="13" t="s">
        <v>31</v>
      </c>
      <c r="G74" s="13" t="s">
        <v>34</v>
      </c>
      <c r="H74" s="13" t="s">
        <v>342</v>
      </c>
      <c r="I74" s="13" t="s">
        <v>364</v>
      </c>
      <c r="J74" s="13">
        <v>2259.08</v>
      </c>
      <c r="K74" s="14">
        <v>45284</v>
      </c>
      <c r="L74" s="13" t="s">
        <v>365</v>
      </c>
      <c r="M74" s="13" t="s">
        <v>378</v>
      </c>
      <c r="N74" s="13" t="s">
        <v>482</v>
      </c>
      <c r="O74" s="14">
        <v>26449</v>
      </c>
      <c r="P74" s="13">
        <v>7587653815</v>
      </c>
      <c r="Q74" s="13" t="s">
        <v>379</v>
      </c>
      <c r="R74" s="14">
        <v>44485</v>
      </c>
      <c r="S74" s="13" t="s">
        <v>367</v>
      </c>
      <c r="T74" s="13" t="s">
        <v>380</v>
      </c>
      <c r="U74" s="13" t="s">
        <v>381</v>
      </c>
      <c r="V74" s="13" t="s">
        <v>345</v>
      </c>
      <c r="W74" s="13" t="s">
        <v>310</v>
      </c>
      <c r="X74" s="13">
        <v>8737740598</v>
      </c>
      <c r="Y74" s="13">
        <v>19</v>
      </c>
      <c r="Z74" s="13" t="s">
        <v>298</v>
      </c>
      <c r="AA74" s="13" t="s">
        <v>382</v>
      </c>
      <c r="AB74" s="14">
        <v>45113</v>
      </c>
      <c r="AC74" s="13">
        <v>582.04999999999995</v>
      </c>
      <c r="AD74" s="13" t="s">
        <v>316</v>
      </c>
      <c r="AE74" s="13" t="s">
        <v>352</v>
      </c>
    </row>
    <row r="75" spans="1:31" x14ac:dyDescent="0.3">
      <c r="A75" s="16" t="s">
        <v>129</v>
      </c>
      <c r="B75" s="16" t="s">
        <v>85</v>
      </c>
      <c r="C75" s="16" t="s">
        <v>67</v>
      </c>
      <c r="D75" s="17">
        <v>45130</v>
      </c>
      <c r="E75" s="18">
        <v>0.5625</v>
      </c>
      <c r="F75" s="16" t="s">
        <v>3</v>
      </c>
      <c r="G75" s="16" t="s">
        <v>8</v>
      </c>
      <c r="H75" s="16" t="s">
        <v>377</v>
      </c>
      <c r="I75" s="16" t="s">
        <v>354</v>
      </c>
      <c r="J75" s="16">
        <v>3175.14</v>
      </c>
      <c r="K75" s="17">
        <v>45130</v>
      </c>
      <c r="L75" s="16" t="s">
        <v>390</v>
      </c>
      <c r="M75" s="16" t="s">
        <v>391</v>
      </c>
      <c r="N75" s="16" t="s">
        <v>482</v>
      </c>
      <c r="O75" s="17">
        <v>37177</v>
      </c>
      <c r="P75" s="16">
        <v>7081396733</v>
      </c>
      <c r="Q75" s="16" t="s">
        <v>357</v>
      </c>
      <c r="R75" s="17">
        <v>44797</v>
      </c>
      <c r="S75" s="16" t="s">
        <v>348</v>
      </c>
      <c r="T75" s="16" t="s">
        <v>435</v>
      </c>
      <c r="U75" s="16" t="s">
        <v>350</v>
      </c>
      <c r="V75" s="16" t="s">
        <v>391</v>
      </c>
      <c r="W75" s="16" t="s">
        <v>308</v>
      </c>
      <c r="X75" s="16">
        <v>9118538547</v>
      </c>
      <c r="Y75" s="16">
        <v>26</v>
      </c>
      <c r="Z75" s="16" t="s">
        <v>297</v>
      </c>
      <c r="AA75" s="16" t="s">
        <v>436</v>
      </c>
      <c r="AB75" s="17">
        <v>45012</v>
      </c>
      <c r="AC75" s="16">
        <v>695.36</v>
      </c>
      <c r="AD75" s="16" t="s">
        <v>311</v>
      </c>
      <c r="AE75" s="16" t="s">
        <v>376</v>
      </c>
    </row>
    <row r="76" spans="1:31" x14ac:dyDescent="0.3">
      <c r="A76" s="13" t="s">
        <v>130</v>
      </c>
      <c r="B76" s="13" t="s">
        <v>122</v>
      </c>
      <c r="C76" s="13" t="s">
        <v>2</v>
      </c>
      <c r="D76" s="14">
        <v>45054</v>
      </c>
      <c r="E76" s="15">
        <v>0.58333333333333337</v>
      </c>
      <c r="F76" s="13" t="s">
        <v>31</v>
      </c>
      <c r="G76" s="13" t="s">
        <v>12</v>
      </c>
      <c r="H76" s="13" t="s">
        <v>342</v>
      </c>
      <c r="I76" s="13" t="s">
        <v>364</v>
      </c>
      <c r="J76" s="13">
        <v>2735.45</v>
      </c>
      <c r="K76" s="14">
        <v>45054</v>
      </c>
      <c r="L76" s="13" t="s">
        <v>383</v>
      </c>
      <c r="M76" s="13" t="s">
        <v>399</v>
      </c>
      <c r="N76" s="13" t="s">
        <v>482</v>
      </c>
      <c r="O76" s="14">
        <v>29305</v>
      </c>
      <c r="P76" s="13">
        <v>9127665406</v>
      </c>
      <c r="Q76" s="13" t="s">
        <v>386</v>
      </c>
      <c r="R76" s="14">
        <v>44760</v>
      </c>
      <c r="S76" s="13" t="s">
        <v>348</v>
      </c>
      <c r="T76" s="13" t="s">
        <v>455</v>
      </c>
      <c r="U76" s="13" t="s">
        <v>350</v>
      </c>
      <c r="V76" s="13" t="s">
        <v>345</v>
      </c>
      <c r="W76" s="13" t="s">
        <v>310</v>
      </c>
      <c r="X76" s="13">
        <v>7387087517</v>
      </c>
      <c r="Y76" s="13">
        <v>26</v>
      </c>
      <c r="Z76" s="13" t="s">
        <v>297</v>
      </c>
      <c r="AA76" s="13" t="s">
        <v>456</v>
      </c>
      <c r="AB76" s="14">
        <v>45148</v>
      </c>
      <c r="AC76" s="13">
        <v>930.72</v>
      </c>
      <c r="AD76" s="13" t="s">
        <v>316</v>
      </c>
      <c r="AE76" s="13" t="s">
        <v>352</v>
      </c>
    </row>
    <row r="77" spans="1:31" x14ac:dyDescent="0.3">
      <c r="A77" s="16" t="s">
        <v>131</v>
      </c>
      <c r="B77" s="16" t="s">
        <v>132</v>
      </c>
      <c r="C77" s="16" t="s">
        <v>41</v>
      </c>
      <c r="D77" s="17">
        <v>45257</v>
      </c>
      <c r="E77" s="18">
        <v>0.5</v>
      </c>
      <c r="F77" s="16" t="s">
        <v>3</v>
      </c>
      <c r="G77" s="16" t="s">
        <v>12</v>
      </c>
      <c r="H77" s="16" t="s">
        <v>342</v>
      </c>
      <c r="I77" s="16" t="s">
        <v>364</v>
      </c>
      <c r="J77" s="16">
        <v>4945.03</v>
      </c>
      <c r="K77" s="17">
        <v>45257</v>
      </c>
      <c r="L77" s="16" t="s">
        <v>370</v>
      </c>
      <c r="M77" s="16" t="s">
        <v>391</v>
      </c>
      <c r="N77" s="16" t="s">
        <v>481</v>
      </c>
      <c r="O77" s="17">
        <v>27830</v>
      </c>
      <c r="P77" s="16">
        <v>9449458981</v>
      </c>
      <c r="Q77" s="16" t="s">
        <v>347</v>
      </c>
      <c r="R77" s="17">
        <v>44952</v>
      </c>
      <c r="S77" s="16" t="s">
        <v>367</v>
      </c>
      <c r="T77" s="16" t="s">
        <v>457</v>
      </c>
      <c r="U77" s="16" t="s">
        <v>381</v>
      </c>
      <c r="V77" s="16" t="s">
        <v>374</v>
      </c>
      <c r="W77" s="16" t="s">
        <v>310</v>
      </c>
      <c r="X77" s="16">
        <v>9004382050</v>
      </c>
      <c r="Y77" s="16">
        <v>24</v>
      </c>
      <c r="Z77" s="16" t="s">
        <v>298</v>
      </c>
      <c r="AA77" s="16" t="s">
        <v>458</v>
      </c>
      <c r="AB77" s="17">
        <v>45257</v>
      </c>
      <c r="AC77" s="16">
        <v>4945.03</v>
      </c>
      <c r="AD77" s="16" t="s">
        <v>316</v>
      </c>
      <c r="AE77" s="16" t="s">
        <v>352</v>
      </c>
    </row>
    <row r="78" spans="1:31" x14ac:dyDescent="0.3">
      <c r="A78" s="13" t="s">
        <v>133</v>
      </c>
      <c r="B78" s="13" t="s">
        <v>38</v>
      </c>
      <c r="C78" s="13" t="s">
        <v>28</v>
      </c>
      <c r="D78" s="14">
        <v>45274</v>
      </c>
      <c r="E78" s="15">
        <v>0.71875</v>
      </c>
      <c r="F78" s="13" t="s">
        <v>22</v>
      </c>
      <c r="G78" s="13" t="s">
        <v>34</v>
      </c>
      <c r="H78" s="13" t="s">
        <v>377</v>
      </c>
      <c r="I78" s="13" t="s">
        <v>343</v>
      </c>
      <c r="J78" s="13">
        <v>1113.98</v>
      </c>
      <c r="K78" s="14">
        <v>45274</v>
      </c>
      <c r="L78" s="13" t="s">
        <v>360</v>
      </c>
      <c r="M78" s="13" t="s">
        <v>345</v>
      </c>
      <c r="N78" s="13" t="s">
        <v>482</v>
      </c>
      <c r="O78" s="14">
        <v>38487</v>
      </c>
      <c r="P78" s="13">
        <v>8923607677</v>
      </c>
      <c r="Q78" s="13" t="s">
        <v>386</v>
      </c>
      <c r="R78" s="14">
        <v>45035</v>
      </c>
      <c r="S78" s="13" t="s">
        <v>372</v>
      </c>
      <c r="T78" s="13" t="s">
        <v>402</v>
      </c>
      <c r="U78" s="13" t="s">
        <v>383</v>
      </c>
      <c r="V78" s="13" t="s">
        <v>371</v>
      </c>
      <c r="W78" s="13" t="s">
        <v>309</v>
      </c>
      <c r="X78" s="13">
        <v>6176383634</v>
      </c>
      <c r="Y78" s="13">
        <v>21</v>
      </c>
      <c r="Z78" s="13" t="s">
        <v>298</v>
      </c>
      <c r="AA78" s="13" t="s">
        <v>403</v>
      </c>
      <c r="AB78" s="14">
        <v>45053</v>
      </c>
      <c r="AC78" s="13">
        <v>771.2</v>
      </c>
      <c r="AD78" s="13" t="s">
        <v>317</v>
      </c>
      <c r="AE78" s="13" t="s">
        <v>352</v>
      </c>
    </row>
    <row r="79" spans="1:31" x14ac:dyDescent="0.3">
      <c r="A79" s="16" t="s">
        <v>134</v>
      </c>
      <c r="B79" s="16" t="s">
        <v>135</v>
      </c>
      <c r="C79" s="16" t="s">
        <v>47</v>
      </c>
      <c r="D79" s="17">
        <v>45186</v>
      </c>
      <c r="E79" s="18">
        <v>0.46875</v>
      </c>
      <c r="F79" s="16" t="s">
        <v>11</v>
      </c>
      <c r="G79" s="16" t="s">
        <v>8</v>
      </c>
      <c r="H79" s="16" t="s">
        <v>413</v>
      </c>
      <c r="I79" s="16" t="s">
        <v>343</v>
      </c>
      <c r="J79" s="16">
        <v>3628.15</v>
      </c>
      <c r="K79" s="17">
        <v>45186</v>
      </c>
      <c r="L79" s="16" t="s">
        <v>404</v>
      </c>
      <c r="M79" s="16" t="s">
        <v>432</v>
      </c>
      <c r="N79" s="16" t="s">
        <v>481</v>
      </c>
      <c r="O79" s="17">
        <v>32960</v>
      </c>
      <c r="P79" s="16">
        <v>9059178882</v>
      </c>
      <c r="Q79" s="16" t="s">
        <v>347</v>
      </c>
      <c r="R79" s="17">
        <v>44553</v>
      </c>
      <c r="S79" s="16" t="s">
        <v>348</v>
      </c>
      <c r="T79" s="16" t="s">
        <v>459</v>
      </c>
      <c r="U79" s="16" t="s">
        <v>383</v>
      </c>
      <c r="V79" s="16" t="s">
        <v>399</v>
      </c>
      <c r="W79" s="16" t="s">
        <v>308</v>
      </c>
      <c r="X79" s="16">
        <v>9069162601</v>
      </c>
      <c r="Y79" s="16">
        <v>5</v>
      </c>
      <c r="Z79" s="16" t="s">
        <v>299</v>
      </c>
      <c r="AA79" s="16" t="s">
        <v>460</v>
      </c>
      <c r="AB79" s="17">
        <v>45186</v>
      </c>
      <c r="AC79" s="16">
        <v>3628.15</v>
      </c>
      <c r="AD79" s="16" t="s">
        <v>316</v>
      </c>
      <c r="AE79" s="16" t="s">
        <v>363</v>
      </c>
    </row>
    <row r="80" spans="1:31" x14ac:dyDescent="0.3">
      <c r="A80" s="13" t="s">
        <v>136</v>
      </c>
      <c r="B80" s="13" t="s">
        <v>43</v>
      </c>
      <c r="C80" s="13" t="s">
        <v>41</v>
      </c>
      <c r="D80" s="14">
        <v>45286</v>
      </c>
      <c r="E80" s="15">
        <v>0.58333333333333337</v>
      </c>
      <c r="F80" s="13" t="s">
        <v>31</v>
      </c>
      <c r="G80" s="13" t="s">
        <v>12</v>
      </c>
      <c r="H80" s="13" t="s">
        <v>413</v>
      </c>
      <c r="I80" s="13" t="s">
        <v>343</v>
      </c>
      <c r="J80" s="13">
        <v>2319.4299999999998</v>
      </c>
      <c r="K80" s="14">
        <v>45286</v>
      </c>
      <c r="L80" s="13" t="s">
        <v>404</v>
      </c>
      <c r="M80" s="13" t="s">
        <v>374</v>
      </c>
      <c r="N80" s="13" t="s">
        <v>481</v>
      </c>
      <c r="O80" s="14">
        <v>33580</v>
      </c>
      <c r="P80" s="13">
        <v>8135666049</v>
      </c>
      <c r="Q80" s="13" t="s">
        <v>347</v>
      </c>
      <c r="R80" s="14">
        <v>45043</v>
      </c>
      <c r="S80" s="13" t="s">
        <v>358</v>
      </c>
      <c r="T80" s="13" t="s">
        <v>407</v>
      </c>
      <c r="U80" s="13" t="s">
        <v>381</v>
      </c>
      <c r="V80" s="13" t="s">
        <v>374</v>
      </c>
      <c r="W80" s="13" t="s">
        <v>310</v>
      </c>
      <c r="X80" s="13">
        <v>9004382050</v>
      </c>
      <c r="Y80" s="13">
        <v>24</v>
      </c>
      <c r="Z80" s="13" t="s">
        <v>298</v>
      </c>
      <c r="AA80" s="13" t="s">
        <v>408</v>
      </c>
      <c r="AB80" s="14">
        <v>45071</v>
      </c>
      <c r="AC80" s="13">
        <v>2082.3000000000002</v>
      </c>
      <c r="AD80" s="13" t="s">
        <v>316</v>
      </c>
      <c r="AE80" s="13" t="s">
        <v>363</v>
      </c>
    </row>
    <row r="81" spans="1:31" x14ac:dyDescent="0.3">
      <c r="A81" s="16" t="s">
        <v>137</v>
      </c>
      <c r="B81" s="16" t="s">
        <v>90</v>
      </c>
      <c r="C81" s="16" t="s">
        <v>67</v>
      </c>
      <c r="D81" s="17">
        <v>45103</v>
      </c>
      <c r="E81" s="18">
        <v>0.35416666666666669</v>
      </c>
      <c r="F81" s="16" t="s">
        <v>11</v>
      </c>
      <c r="G81" s="16" t="s">
        <v>4</v>
      </c>
      <c r="H81" s="16" t="s">
        <v>342</v>
      </c>
      <c r="I81" s="16" t="s">
        <v>343</v>
      </c>
      <c r="J81" s="16">
        <v>2426.9</v>
      </c>
      <c r="K81" s="17">
        <v>45103</v>
      </c>
      <c r="L81" s="16" t="s">
        <v>370</v>
      </c>
      <c r="M81" s="16" t="s">
        <v>366</v>
      </c>
      <c r="N81" s="16" t="s">
        <v>482</v>
      </c>
      <c r="O81" s="17">
        <v>31791</v>
      </c>
      <c r="P81" s="16">
        <v>8280346676</v>
      </c>
      <c r="Q81" s="16" t="s">
        <v>347</v>
      </c>
      <c r="R81" s="17">
        <v>44740</v>
      </c>
      <c r="S81" s="16" t="s">
        <v>348</v>
      </c>
      <c r="T81" s="16" t="s">
        <v>437</v>
      </c>
      <c r="U81" s="16" t="s">
        <v>350</v>
      </c>
      <c r="V81" s="16" t="s">
        <v>391</v>
      </c>
      <c r="W81" s="16" t="s">
        <v>308</v>
      </c>
      <c r="X81" s="16">
        <v>9118538547</v>
      </c>
      <c r="Y81" s="16">
        <v>26</v>
      </c>
      <c r="Z81" s="16" t="s">
        <v>297</v>
      </c>
      <c r="AA81" s="16" t="s">
        <v>438</v>
      </c>
      <c r="AB81" s="17">
        <v>45189</v>
      </c>
      <c r="AC81" s="16">
        <v>4186.3500000000004</v>
      </c>
      <c r="AD81" s="16" t="s">
        <v>317</v>
      </c>
      <c r="AE81" s="16" t="s">
        <v>363</v>
      </c>
    </row>
    <row r="82" spans="1:31" x14ac:dyDescent="0.3">
      <c r="A82" s="13" t="s">
        <v>138</v>
      </c>
      <c r="B82" s="13" t="s">
        <v>65</v>
      </c>
      <c r="C82" s="13" t="s">
        <v>25</v>
      </c>
      <c r="D82" s="14">
        <v>44932</v>
      </c>
      <c r="E82" s="15">
        <v>0.5625</v>
      </c>
      <c r="F82" s="13" t="s">
        <v>3</v>
      </c>
      <c r="G82" s="13" t="s">
        <v>12</v>
      </c>
      <c r="H82" s="13" t="s">
        <v>377</v>
      </c>
      <c r="I82" s="13" t="s">
        <v>354</v>
      </c>
      <c r="J82" s="13">
        <v>3729.19</v>
      </c>
      <c r="K82" s="14">
        <v>44932</v>
      </c>
      <c r="L82" s="13" t="s">
        <v>390</v>
      </c>
      <c r="M82" s="13" t="s">
        <v>391</v>
      </c>
      <c r="N82" s="13" t="s">
        <v>481</v>
      </c>
      <c r="O82" s="14">
        <v>31656</v>
      </c>
      <c r="P82" s="13">
        <v>8019925828</v>
      </c>
      <c r="Q82" s="13" t="s">
        <v>379</v>
      </c>
      <c r="R82" s="14">
        <v>44408</v>
      </c>
      <c r="S82" s="13" t="s">
        <v>358</v>
      </c>
      <c r="T82" s="13" t="s">
        <v>424</v>
      </c>
      <c r="U82" s="13" t="s">
        <v>370</v>
      </c>
      <c r="V82" s="13" t="s">
        <v>374</v>
      </c>
      <c r="W82" s="13" t="s">
        <v>309</v>
      </c>
      <c r="X82" s="13">
        <v>8217493115</v>
      </c>
      <c r="Y82" s="13">
        <v>26</v>
      </c>
      <c r="Z82" s="13" t="s">
        <v>299</v>
      </c>
      <c r="AA82" s="13" t="s">
        <v>425</v>
      </c>
      <c r="AB82" s="14">
        <v>45002</v>
      </c>
      <c r="AC82" s="13">
        <v>2360.9699999999998</v>
      </c>
      <c r="AD82" s="13" t="s">
        <v>317</v>
      </c>
      <c r="AE82" s="13" t="s">
        <v>363</v>
      </c>
    </row>
    <row r="83" spans="1:31" x14ac:dyDescent="0.3">
      <c r="A83" s="16" t="s">
        <v>139</v>
      </c>
      <c r="B83" s="16" t="s">
        <v>105</v>
      </c>
      <c r="C83" s="16" t="s">
        <v>47</v>
      </c>
      <c r="D83" s="17">
        <v>44946</v>
      </c>
      <c r="E83" s="18">
        <v>0.44791666666666669</v>
      </c>
      <c r="F83" s="16" t="s">
        <v>31</v>
      </c>
      <c r="G83" s="16" t="s">
        <v>4</v>
      </c>
      <c r="H83" s="16" t="s">
        <v>413</v>
      </c>
      <c r="I83" s="16" t="s">
        <v>343</v>
      </c>
      <c r="J83" s="16">
        <v>3615.96</v>
      </c>
      <c r="K83" s="17">
        <v>44946</v>
      </c>
      <c r="L83" s="16" t="s">
        <v>365</v>
      </c>
      <c r="M83" s="16" t="s">
        <v>345</v>
      </c>
      <c r="N83" s="16" t="s">
        <v>481</v>
      </c>
      <c r="O83" s="17">
        <v>30967</v>
      </c>
      <c r="P83" s="16">
        <v>8228188767</v>
      </c>
      <c r="Q83" s="16" t="s">
        <v>347</v>
      </c>
      <c r="R83" s="17">
        <v>44576</v>
      </c>
      <c r="S83" s="16" t="s">
        <v>367</v>
      </c>
      <c r="T83" s="16" t="s">
        <v>445</v>
      </c>
      <c r="U83" s="16" t="s">
        <v>383</v>
      </c>
      <c r="V83" s="16" t="s">
        <v>399</v>
      </c>
      <c r="W83" s="16" t="s">
        <v>308</v>
      </c>
      <c r="X83" s="16">
        <v>9069162601</v>
      </c>
      <c r="Y83" s="16">
        <v>5</v>
      </c>
      <c r="Z83" s="16" t="s">
        <v>299</v>
      </c>
      <c r="AA83" s="16" t="s">
        <v>446</v>
      </c>
      <c r="AB83" s="17">
        <v>45205</v>
      </c>
      <c r="AC83" s="16">
        <v>1736.63</v>
      </c>
      <c r="AD83" s="16" t="s">
        <v>311</v>
      </c>
      <c r="AE83" s="16" t="s">
        <v>376</v>
      </c>
    </row>
    <row r="84" spans="1:31" x14ac:dyDescent="0.3">
      <c r="A84" s="13" t="s">
        <v>140</v>
      </c>
      <c r="B84" s="13" t="s">
        <v>116</v>
      </c>
      <c r="C84" s="13" t="s">
        <v>52</v>
      </c>
      <c r="D84" s="14">
        <v>45237</v>
      </c>
      <c r="E84" s="15">
        <v>0.52083333333333337</v>
      </c>
      <c r="F84" s="13" t="s">
        <v>19</v>
      </c>
      <c r="G84" s="13" t="s">
        <v>34</v>
      </c>
      <c r="H84" s="13" t="s">
        <v>377</v>
      </c>
      <c r="I84" s="13" t="s">
        <v>354</v>
      </c>
      <c r="J84" s="13">
        <v>4960.6499999999996</v>
      </c>
      <c r="K84" s="14">
        <v>45237</v>
      </c>
      <c r="L84" s="13" t="s">
        <v>404</v>
      </c>
      <c r="M84" s="13" t="s">
        <v>371</v>
      </c>
      <c r="N84" s="13" t="s">
        <v>482</v>
      </c>
      <c r="O84" s="14">
        <v>34330</v>
      </c>
      <c r="P84" s="13">
        <v>8301134730</v>
      </c>
      <c r="Q84" s="13" t="s">
        <v>347</v>
      </c>
      <c r="R84" s="14">
        <v>45044</v>
      </c>
      <c r="S84" s="13" t="s">
        <v>348</v>
      </c>
      <c r="T84" s="13" t="s">
        <v>451</v>
      </c>
      <c r="U84" s="13" t="s">
        <v>360</v>
      </c>
      <c r="V84" s="13" t="s">
        <v>391</v>
      </c>
      <c r="W84" s="13" t="s">
        <v>308</v>
      </c>
      <c r="X84" s="13">
        <v>8322010158</v>
      </c>
      <c r="Y84" s="13">
        <v>17</v>
      </c>
      <c r="Z84" s="13" t="s">
        <v>299</v>
      </c>
      <c r="AA84" s="13" t="s">
        <v>452</v>
      </c>
      <c r="AB84" s="14">
        <v>45106</v>
      </c>
      <c r="AC84" s="13">
        <v>1256.06</v>
      </c>
      <c r="AD84" s="13" t="s">
        <v>317</v>
      </c>
      <c r="AE84" s="13" t="s">
        <v>376</v>
      </c>
    </row>
    <row r="85" spans="1:31" x14ac:dyDescent="0.3">
      <c r="A85" s="16" t="s">
        <v>141</v>
      </c>
      <c r="B85" s="16" t="s">
        <v>118</v>
      </c>
      <c r="C85" s="16" t="s">
        <v>15</v>
      </c>
      <c r="D85" s="17">
        <v>45077</v>
      </c>
      <c r="E85" s="18">
        <v>0.66666666666666663</v>
      </c>
      <c r="F85" s="16" t="s">
        <v>11</v>
      </c>
      <c r="G85" s="16" t="s">
        <v>4</v>
      </c>
      <c r="H85" s="16" t="s">
        <v>377</v>
      </c>
      <c r="I85" s="16" t="s">
        <v>343</v>
      </c>
      <c r="J85" s="16">
        <v>1077.77</v>
      </c>
      <c r="K85" s="17">
        <v>45077</v>
      </c>
      <c r="L85" s="16" t="s">
        <v>360</v>
      </c>
      <c r="M85" s="16" t="s">
        <v>371</v>
      </c>
      <c r="N85" s="16" t="s">
        <v>481</v>
      </c>
      <c r="O85" s="17">
        <v>34072</v>
      </c>
      <c r="P85" s="16">
        <v>7039619487</v>
      </c>
      <c r="Q85" s="16" t="s">
        <v>357</v>
      </c>
      <c r="R85" s="17">
        <v>45116</v>
      </c>
      <c r="S85" s="16" t="s">
        <v>358</v>
      </c>
      <c r="T85" s="16" t="s">
        <v>453</v>
      </c>
      <c r="U85" s="16" t="s">
        <v>344</v>
      </c>
      <c r="V85" s="16" t="s">
        <v>374</v>
      </c>
      <c r="W85" s="16" t="s">
        <v>310</v>
      </c>
      <c r="X85" s="16">
        <v>6570137231</v>
      </c>
      <c r="Y85" s="16">
        <v>23</v>
      </c>
      <c r="Z85" s="16" t="s">
        <v>297</v>
      </c>
      <c r="AA85" s="16" t="s">
        <v>454</v>
      </c>
      <c r="AB85" s="17">
        <v>45077</v>
      </c>
      <c r="AC85" s="16">
        <v>3815.93</v>
      </c>
      <c r="AD85" s="16" t="s">
        <v>311</v>
      </c>
      <c r="AE85" s="16" t="s">
        <v>363</v>
      </c>
    </row>
    <row r="86" spans="1:31" x14ac:dyDescent="0.3">
      <c r="A86" s="13" t="s">
        <v>142</v>
      </c>
      <c r="B86" s="13" t="s">
        <v>83</v>
      </c>
      <c r="C86" s="13" t="s">
        <v>52</v>
      </c>
      <c r="D86" s="14">
        <v>44975</v>
      </c>
      <c r="E86" s="15">
        <v>0.67708333333333337</v>
      </c>
      <c r="F86" s="13" t="s">
        <v>31</v>
      </c>
      <c r="G86" s="13" t="s">
        <v>12</v>
      </c>
      <c r="H86" s="13" t="s">
        <v>377</v>
      </c>
      <c r="I86" s="13" t="s">
        <v>354</v>
      </c>
      <c r="J86" s="13">
        <v>968.49</v>
      </c>
      <c r="K86" s="14">
        <v>44975</v>
      </c>
      <c r="L86" s="13" t="s">
        <v>383</v>
      </c>
      <c r="M86" s="13" t="s">
        <v>432</v>
      </c>
      <c r="N86" s="13" t="s">
        <v>482</v>
      </c>
      <c r="O86" s="14">
        <v>34387</v>
      </c>
      <c r="P86" s="13">
        <v>6141951830</v>
      </c>
      <c r="Q86" s="13" t="s">
        <v>386</v>
      </c>
      <c r="R86" s="14">
        <v>44557</v>
      </c>
      <c r="S86" s="13" t="s">
        <v>348</v>
      </c>
      <c r="T86" s="13" t="s">
        <v>433</v>
      </c>
      <c r="U86" s="13" t="s">
        <v>360</v>
      </c>
      <c r="V86" s="13" t="s">
        <v>391</v>
      </c>
      <c r="W86" s="13" t="s">
        <v>308</v>
      </c>
      <c r="X86" s="13">
        <v>8322010158</v>
      </c>
      <c r="Y86" s="13">
        <v>17</v>
      </c>
      <c r="Z86" s="13" t="s">
        <v>299</v>
      </c>
      <c r="AA86" s="13" t="s">
        <v>434</v>
      </c>
      <c r="AB86" s="14">
        <v>45033</v>
      </c>
      <c r="AC86" s="13">
        <v>2976.02</v>
      </c>
      <c r="AD86" s="13" t="s">
        <v>317</v>
      </c>
      <c r="AE86" s="13" t="s">
        <v>376</v>
      </c>
    </row>
    <row r="87" spans="1:31" x14ac:dyDescent="0.3">
      <c r="A87" s="16" t="s">
        <v>143</v>
      </c>
      <c r="B87" s="16" t="s">
        <v>144</v>
      </c>
      <c r="C87" s="16" t="s">
        <v>41</v>
      </c>
      <c r="D87" s="17">
        <v>45228</v>
      </c>
      <c r="E87" s="18">
        <v>0.45833333333333331</v>
      </c>
      <c r="F87" s="16" t="s">
        <v>11</v>
      </c>
      <c r="G87" s="16" t="s">
        <v>12</v>
      </c>
      <c r="H87" s="16" t="s">
        <v>389</v>
      </c>
      <c r="I87" s="16" t="s">
        <v>364</v>
      </c>
      <c r="J87" s="16">
        <v>3759.52</v>
      </c>
      <c r="K87" s="17">
        <v>45228</v>
      </c>
      <c r="L87" s="16" t="s">
        <v>381</v>
      </c>
      <c r="M87" s="16" t="s">
        <v>361</v>
      </c>
      <c r="N87" s="16" t="s">
        <v>482</v>
      </c>
      <c r="O87" s="17">
        <v>33359</v>
      </c>
      <c r="P87" s="16">
        <v>6158428240</v>
      </c>
      <c r="Q87" s="16" t="s">
        <v>379</v>
      </c>
      <c r="R87" s="17">
        <v>44830</v>
      </c>
      <c r="S87" s="16" t="s">
        <v>348</v>
      </c>
      <c r="T87" s="16" t="s">
        <v>461</v>
      </c>
      <c r="U87" s="16" t="s">
        <v>381</v>
      </c>
      <c r="V87" s="16" t="s">
        <v>374</v>
      </c>
      <c r="W87" s="16" t="s">
        <v>310</v>
      </c>
      <c r="X87" s="16">
        <v>9004382050</v>
      </c>
      <c r="Y87" s="16">
        <v>24</v>
      </c>
      <c r="Z87" s="16" t="s">
        <v>298</v>
      </c>
      <c r="AA87" s="16" t="s">
        <v>462</v>
      </c>
      <c r="AB87" s="17">
        <v>45228</v>
      </c>
      <c r="AC87" s="16">
        <v>3759.52</v>
      </c>
      <c r="AD87" s="16" t="s">
        <v>311</v>
      </c>
      <c r="AE87" s="16" t="s">
        <v>352</v>
      </c>
    </row>
    <row r="88" spans="1:31" x14ac:dyDescent="0.3">
      <c r="A88" s="13" t="s">
        <v>145</v>
      </c>
      <c r="B88" s="13" t="s">
        <v>45</v>
      </c>
      <c r="C88" s="13" t="s">
        <v>52</v>
      </c>
      <c r="D88" s="14">
        <v>45218</v>
      </c>
      <c r="E88" s="15">
        <v>0.51041666666666663</v>
      </c>
      <c r="F88" s="13" t="s">
        <v>31</v>
      </c>
      <c r="G88" s="13" t="s">
        <v>12</v>
      </c>
      <c r="H88" s="13" t="s">
        <v>377</v>
      </c>
      <c r="I88" s="13" t="s">
        <v>354</v>
      </c>
      <c r="J88" s="13">
        <v>3102.74</v>
      </c>
      <c r="K88" s="14">
        <v>45218</v>
      </c>
      <c r="L88" s="13" t="s">
        <v>398</v>
      </c>
      <c r="M88" s="13" t="s">
        <v>391</v>
      </c>
      <c r="N88" s="13" t="s">
        <v>482</v>
      </c>
      <c r="O88" s="14">
        <v>37953</v>
      </c>
      <c r="P88" s="13">
        <v>9900972256</v>
      </c>
      <c r="Q88" s="13" t="s">
        <v>357</v>
      </c>
      <c r="R88" s="14">
        <v>44329</v>
      </c>
      <c r="S88" s="13" t="s">
        <v>358</v>
      </c>
      <c r="T88" s="13" t="s">
        <v>409</v>
      </c>
      <c r="U88" s="13" t="s">
        <v>360</v>
      </c>
      <c r="V88" s="13" t="s">
        <v>391</v>
      </c>
      <c r="W88" s="13" t="s">
        <v>308</v>
      </c>
      <c r="X88" s="13">
        <v>8322010158</v>
      </c>
      <c r="Y88" s="13">
        <v>17</v>
      </c>
      <c r="Z88" s="13" t="s">
        <v>299</v>
      </c>
      <c r="AA88" s="13" t="s">
        <v>410</v>
      </c>
      <c r="AB88" s="14">
        <v>44941</v>
      </c>
      <c r="AC88" s="13">
        <v>956.39</v>
      </c>
      <c r="AD88" s="13" t="s">
        <v>317</v>
      </c>
      <c r="AE88" s="13" t="s">
        <v>352</v>
      </c>
    </row>
    <row r="89" spans="1:31" x14ac:dyDescent="0.3">
      <c r="A89" s="16" t="s">
        <v>146</v>
      </c>
      <c r="B89" s="16" t="s">
        <v>147</v>
      </c>
      <c r="C89" s="16" t="s">
        <v>67</v>
      </c>
      <c r="D89" s="17">
        <v>45048</v>
      </c>
      <c r="E89" s="18">
        <v>0.6875</v>
      </c>
      <c r="F89" s="16" t="s">
        <v>22</v>
      </c>
      <c r="G89" s="16" t="s">
        <v>34</v>
      </c>
      <c r="H89" s="16" t="s">
        <v>389</v>
      </c>
      <c r="I89" s="16" t="s">
        <v>354</v>
      </c>
      <c r="J89" s="16">
        <v>1733.72</v>
      </c>
      <c r="K89" s="17">
        <v>45048</v>
      </c>
      <c r="L89" s="16" t="s">
        <v>360</v>
      </c>
      <c r="M89" s="16" t="s">
        <v>374</v>
      </c>
      <c r="N89" s="16" t="s">
        <v>481</v>
      </c>
      <c r="O89" s="17">
        <v>27946</v>
      </c>
      <c r="P89" s="16">
        <v>7090558393</v>
      </c>
      <c r="Q89" s="16" t="s">
        <v>379</v>
      </c>
      <c r="R89" s="17">
        <v>44341</v>
      </c>
      <c r="S89" s="16" t="s">
        <v>348</v>
      </c>
      <c r="T89" s="16" t="s">
        <v>463</v>
      </c>
      <c r="U89" s="16" t="s">
        <v>350</v>
      </c>
      <c r="V89" s="16" t="s">
        <v>391</v>
      </c>
      <c r="W89" s="16" t="s">
        <v>308</v>
      </c>
      <c r="X89" s="16">
        <v>9118538547</v>
      </c>
      <c r="Y89" s="16">
        <v>26</v>
      </c>
      <c r="Z89" s="16" t="s">
        <v>297</v>
      </c>
      <c r="AA89" s="16" t="s">
        <v>464</v>
      </c>
      <c r="AB89" s="17">
        <v>45048</v>
      </c>
      <c r="AC89" s="16">
        <v>1733.72</v>
      </c>
      <c r="AD89" s="16" t="s">
        <v>311</v>
      </c>
      <c r="AE89" s="16" t="s">
        <v>363</v>
      </c>
    </row>
    <row r="90" spans="1:31" x14ac:dyDescent="0.3">
      <c r="A90" s="13" t="s">
        <v>148</v>
      </c>
      <c r="B90" s="13" t="s">
        <v>38</v>
      </c>
      <c r="C90" s="13" t="s">
        <v>28</v>
      </c>
      <c r="D90" s="14">
        <v>44971</v>
      </c>
      <c r="E90" s="15">
        <v>0.45833333333333331</v>
      </c>
      <c r="F90" s="13" t="s">
        <v>11</v>
      </c>
      <c r="G90" s="13" t="s">
        <v>34</v>
      </c>
      <c r="H90" s="13" t="s">
        <v>342</v>
      </c>
      <c r="I90" s="13" t="s">
        <v>343</v>
      </c>
      <c r="J90" s="13">
        <v>857.39</v>
      </c>
      <c r="K90" s="14">
        <v>44971</v>
      </c>
      <c r="L90" s="13" t="s">
        <v>360</v>
      </c>
      <c r="M90" s="13" t="s">
        <v>345</v>
      </c>
      <c r="N90" s="13" t="s">
        <v>482</v>
      </c>
      <c r="O90" s="14">
        <v>38487</v>
      </c>
      <c r="P90" s="13">
        <v>8923607677</v>
      </c>
      <c r="Q90" s="13" t="s">
        <v>386</v>
      </c>
      <c r="R90" s="14">
        <v>45035</v>
      </c>
      <c r="S90" s="13" t="s">
        <v>372</v>
      </c>
      <c r="T90" s="13" t="s">
        <v>402</v>
      </c>
      <c r="U90" s="13" t="s">
        <v>383</v>
      </c>
      <c r="V90" s="13" t="s">
        <v>371</v>
      </c>
      <c r="W90" s="13" t="s">
        <v>309</v>
      </c>
      <c r="X90" s="13">
        <v>6176383634</v>
      </c>
      <c r="Y90" s="13">
        <v>21</v>
      </c>
      <c r="Z90" s="13" t="s">
        <v>298</v>
      </c>
      <c r="AA90" s="13" t="s">
        <v>403</v>
      </c>
      <c r="AB90" s="14">
        <v>45053</v>
      </c>
      <c r="AC90" s="13">
        <v>771.2</v>
      </c>
      <c r="AD90" s="13" t="s">
        <v>317</v>
      </c>
      <c r="AE90" s="13" t="s">
        <v>352</v>
      </c>
    </row>
    <row r="91" spans="1:31" x14ac:dyDescent="0.3">
      <c r="A91" s="16" t="s">
        <v>149</v>
      </c>
      <c r="B91" s="16" t="s">
        <v>45</v>
      </c>
      <c r="C91" s="16" t="s">
        <v>2</v>
      </c>
      <c r="D91" s="17">
        <v>45078</v>
      </c>
      <c r="E91" s="18">
        <v>0.72916666666666663</v>
      </c>
      <c r="F91" s="16" t="s">
        <v>19</v>
      </c>
      <c r="G91" s="16" t="s">
        <v>8</v>
      </c>
      <c r="H91" s="16" t="s">
        <v>413</v>
      </c>
      <c r="I91" s="16" t="s">
        <v>354</v>
      </c>
      <c r="J91" s="16">
        <v>885.46</v>
      </c>
      <c r="K91" s="17">
        <v>45078</v>
      </c>
      <c r="L91" s="16" t="s">
        <v>398</v>
      </c>
      <c r="M91" s="16" t="s">
        <v>391</v>
      </c>
      <c r="N91" s="16" t="s">
        <v>482</v>
      </c>
      <c r="O91" s="17">
        <v>37953</v>
      </c>
      <c r="P91" s="16">
        <v>9900972256</v>
      </c>
      <c r="Q91" s="16" t="s">
        <v>357</v>
      </c>
      <c r="R91" s="17">
        <v>44329</v>
      </c>
      <c r="S91" s="16" t="s">
        <v>358</v>
      </c>
      <c r="T91" s="16" t="s">
        <v>409</v>
      </c>
      <c r="U91" s="16" t="s">
        <v>350</v>
      </c>
      <c r="V91" s="16" t="s">
        <v>345</v>
      </c>
      <c r="W91" s="16" t="s">
        <v>310</v>
      </c>
      <c r="X91" s="16">
        <v>7387087517</v>
      </c>
      <c r="Y91" s="16">
        <v>26</v>
      </c>
      <c r="Z91" s="16" t="s">
        <v>297</v>
      </c>
      <c r="AA91" s="16" t="s">
        <v>410</v>
      </c>
      <c r="AB91" s="17">
        <v>44941</v>
      </c>
      <c r="AC91" s="16">
        <v>956.39</v>
      </c>
      <c r="AD91" s="16" t="s">
        <v>317</v>
      </c>
      <c r="AE91" s="16" t="s">
        <v>352</v>
      </c>
    </row>
    <row r="92" spans="1:31" x14ac:dyDescent="0.3">
      <c r="A92" s="13" t="s">
        <v>150</v>
      </c>
      <c r="B92" s="13" t="s">
        <v>85</v>
      </c>
      <c r="C92" s="13" t="s">
        <v>15</v>
      </c>
      <c r="D92" s="14">
        <v>45088</v>
      </c>
      <c r="E92" s="15">
        <v>0.55208333333333337</v>
      </c>
      <c r="F92" s="13" t="s">
        <v>19</v>
      </c>
      <c r="G92" s="13" t="s">
        <v>12</v>
      </c>
      <c r="H92" s="13" t="s">
        <v>413</v>
      </c>
      <c r="I92" s="13" t="s">
        <v>364</v>
      </c>
      <c r="J92" s="13">
        <v>4523.8599999999997</v>
      </c>
      <c r="K92" s="14">
        <v>45088</v>
      </c>
      <c r="L92" s="13" t="s">
        <v>390</v>
      </c>
      <c r="M92" s="13" t="s">
        <v>391</v>
      </c>
      <c r="N92" s="13" t="s">
        <v>482</v>
      </c>
      <c r="O92" s="14">
        <v>37177</v>
      </c>
      <c r="P92" s="13">
        <v>7081396733</v>
      </c>
      <c r="Q92" s="13" t="s">
        <v>357</v>
      </c>
      <c r="R92" s="14">
        <v>44797</v>
      </c>
      <c r="S92" s="13" t="s">
        <v>348</v>
      </c>
      <c r="T92" s="13" t="s">
        <v>435</v>
      </c>
      <c r="U92" s="13" t="s">
        <v>344</v>
      </c>
      <c r="V92" s="13" t="s">
        <v>374</v>
      </c>
      <c r="W92" s="13" t="s">
        <v>310</v>
      </c>
      <c r="X92" s="13">
        <v>6570137231</v>
      </c>
      <c r="Y92" s="13">
        <v>23</v>
      </c>
      <c r="Z92" s="13" t="s">
        <v>297</v>
      </c>
      <c r="AA92" s="13" t="s">
        <v>436</v>
      </c>
      <c r="AB92" s="14">
        <v>45012</v>
      </c>
      <c r="AC92" s="13">
        <v>695.36</v>
      </c>
      <c r="AD92" s="13" t="s">
        <v>311</v>
      </c>
      <c r="AE92" s="13" t="s">
        <v>376</v>
      </c>
    </row>
    <row r="93" spans="1:31" x14ac:dyDescent="0.3">
      <c r="A93" s="16" t="s">
        <v>151</v>
      </c>
      <c r="B93" s="16" t="s">
        <v>45</v>
      </c>
      <c r="C93" s="16" t="s">
        <v>52</v>
      </c>
      <c r="D93" s="17">
        <v>44956</v>
      </c>
      <c r="E93" s="18">
        <v>0.59375</v>
      </c>
      <c r="F93" s="16" t="s">
        <v>3</v>
      </c>
      <c r="G93" s="16" t="s">
        <v>4</v>
      </c>
      <c r="H93" s="16" t="s">
        <v>413</v>
      </c>
      <c r="I93" s="16" t="s">
        <v>364</v>
      </c>
      <c r="J93" s="16">
        <v>1363.4</v>
      </c>
      <c r="K93" s="17">
        <v>44956</v>
      </c>
      <c r="L93" s="16" t="s">
        <v>398</v>
      </c>
      <c r="M93" s="16" t="s">
        <v>391</v>
      </c>
      <c r="N93" s="16" t="s">
        <v>482</v>
      </c>
      <c r="O93" s="17">
        <v>37953</v>
      </c>
      <c r="P93" s="16">
        <v>9900972256</v>
      </c>
      <c r="Q93" s="16" t="s">
        <v>357</v>
      </c>
      <c r="R93" s="17">
        <v>44329</v>
      </c>
      <c r="S93" s="16" t="s">
        <v>358</v>
      </c>
      <c r="T93" s="16" t="s">
        <v>409</v>
      </c>
      <c r="U93" s="16" t="s">
        <v>360</v>
      </c>
      <c r="V93" s="16" t="s">
        <v>391</v>
      </c>
      <c r="W93" s="16" t="s">
        <v>308</v>
      </c>
      <c r="X93" s="16">
        <v>8322010158</v>
      </c>
      <c r="Y93" s="16">
        <v>17</v>
      </c>
      <c r="Z93" s="16" t="s">
        <v>299</v>
      </c>
      <c r="AA93" s="16" t="s">
        <v>410</v>
      </c>
      <c r="AB93" s="17">
        <v>44941</v>
      </c>
      <c r="AC93" s="16">
        <v>956.39</v>
      </c>
      <c r="AD93" s="16" t="s">
        <v>317</v>
      </c>
      <c r="AE93" s="16" t="s">
        <v>352</v>
      </c>
    </row>
    <row r="94" spans="1:31" x14ac:dyDescent="0.3">
      <c r="A94" s="13" t="s">
        <v>152</v>
      </c>
      <c r="B94" s="13" t="s">
        <v>1</v>
      </c>
      <c r="C94" s="13" t="s">
        <v>52</v>
      </c>
      <c r="D94" s="14">
        <v>45025</v>
      </c>
      <c r="E94" s="15">
        <v>0.39583333333333331</v>
      </c>
      <c r="F94" s="13" t="s">
        <v>31</v>
      </c>
      <c r="G94" s="13" t="s">
        <v>34</v>
      </c>
      <c r="H94" s="13" t="s">
        <v>413</v>
      </c>
      <c r="I94" s="13" t="s">
        <v>343</v>
      </c>
      <c r="J94" s="13">
        <v>1955.17</v>
      </c>
      <c r="K94" s="14">
        <v>45025</v>
      </c>
      <c r="L94" s="13" t="s">
        <v>344</v>
      </c>
      <c r="M94" s="13" t="s">
        <v>345</v>
      </c>
      <c r="N94" s="13" t="s">
        <v>481</v>
      </c>
      <c r="O94" s="14">
        <v>18289</v>
      </c>
      <c r="P94" s="13">
        <v>8374657733</v>
      </c>
      <c r="Q94" s="13" t="s">
        <v>347</v>
      </c>
      <c r="R94" s="14">
        <v>45095</v>
      </c>
      <c r="S94" s="13" t="s">
        <v>348</v>
      </c>
      <c r="T94" s="13" t="s">
        <v>349</v>
      </c>
      <c r="U94" s="13" t="s">
        <v>360</v>
      </c>
      <c r="V94" s="13" t="s">
        <v>391</v>
      </c>
      <c r="W94" s="13" t="s">
        <v>308</v>
      </c>
      <c r="X94" s="13">
        <v>8322010158</v>
      </c>
      <c r="Y94" s="13">
        <v>17</v>
      </c>
      <c r="Z94" s="13" t="s">
        <v>299</v>
      </c>
      <c r="AA94" s="13" t="s">
        <v>351</v>
      </c>
      <c r="AB94" s="14">
        <v>45147</v>
      </c>
      <c r="AC94" s="13">
        <v>3941.97</v>
      </c>
      <c r="AD94" s="13" t="s">
        <v>317</v>
      </c>
      <c r="AE94" s="13" t="s">
        <v>352</v>
      </c>
    </row>
    <row r="95" spans="1:31" x14ac:dyDescent="0.3">
      <c r="A95" s="16" t="s">
        <v>153</v>
      </c>
      <c r="B95" s="16" t="s">
        <v>154</v>
      </c>
      <c r="C95" s="16" t="s">
        <v>41</v>
      </c>
      <c r="D95" s="17">
        <v>45024</v>
      </c>
      <c r="E95" s="18">
        <v>0.36458333333333331</v>
      </c>
      <c r="F95" s="16" t="s">
        <v>11</v>
      </c>
      <c r="G95" s="16" t="s">
        <v>12</v>
      </c>
      <c r="H95" s="16" t="s">
        <v>413</v>
      </c>
      <c r="I95" s="16" t="s">
        <v>364</v>
      </c>
      <c r="J95" s="16">
        <v>1519.95</v>
      </c>
      <c r="K95" s="17">
        <v>45024</v>
      </c>
      <c r="L95" s="16" t="s">
        <v>370</v>
      </c>
      <c r="M95" s="16" t="s">
        <v>378</v>
      </c>
      <c r="N95" s="16" t="s">
        <v>482</v>
      </c>
      <c r="O95" s="17">
        <v>18798</v>
      </c>
      <c r="P95" s="16">
        <v>7020645498</v>
      </c>
      <c r="Q95" s="16" t="s">
        <v>379</v>
      </c>
      <c r="R95" s="17">
        <v>44758</v>
      </c>
      <c r="S95" s="16" t="s">
        <v>348</v>
      </c>
      <c r="T95" s="16" t="s">
        <v>465</v>
      </c>
      <c r="U95" s="16" t="s">
        <v>381</v>
      </c>
      <c r="V95" s="16" t="s">
        <v>374</v>
      </c>
      <c r="W95" s="16" t="s">
        <v>310</v>
      </c>
      <c r="X95" s="16">
        <v>9004382050</v>
      </c>
      <c r="Y95" s="16">
        <v>24</v>
      </c>
      <c r="Z95" s="16" t="s">
        <v>298</v>
      </c>
      <c r="AA95" s="16" t="s">
        <v>466</v>
      </c>
      <c r="AB95" s="17">
        <v>45024</v>
      </c>
      <c r="AC95" s="16">
        <v>1519.95</v>
      </c>
      <c r="AD95" s="16" t="s">
        <v>311</v>
      </c>
      <c r="AE95" s="16" t="s">
        <v>376</v>
      </c>
    </row>
    <row r="96" spans="1:31" x14ac:dyDescent="0.3">
      <c r="A96" s="13" t="s">
        <v>155</v>
      </c>
      <c r="B96" s="13" t="s">
        <v>156</v>
      </c>
      <c r="C96" s="13" t="s">
        <v>2</v>
      </c>
      <c r="D96" s="14">
        <v>45055</v>
      </c>
      <c r="E96" s="15">
        <v>0.42708333333333331</v>
      </c>
      <c r="F96" s="13" t="s">
        <v>3</v>
      </c>
      <c r="G96" s="13" t="s">
        <v>12</v>
      </c>
      <c r="H96" s="13" t="s">
        <v>413</v>
      </c>
      <c r="I96" s="13" t="s">
        <v>354</v>
      </c>
      <c r="J96" s="13">
        <v>2097.48</v>
      </c>
      <c r="K96" s="14">
        <v>45055</v>
      </c>
      <c r="L96" s="13" t="s">
        <v>344</v>
      </c>
      <c r="M96" s="13" t="s">
        <v>432</v>
      </c>
      <c r="N96" s="13" t="s">
        <v>481</v>
      </c>
      <c r="O96" s="14">
        <v>32667</v>
      </c>
      <c r="P96" s="13">
        <v>6278710077</v>
      </c>
      <c r="Q96" s="13" t="s">
        <v>386</v>
      </c>
      <c r="R96" s="14">
        <v>44555</v>
      </c>
      <c r="S96" s="13" t="s">
        <v>358</v>
      </c>
      <c r="T96" s="13" t="s">
        <v>467</v>
      </c>
      <c r="U96" s="13" t="s">
        <v>350</v>
      </c>
      <c r="V96" s="13" t="s">
        <v>345</v>
      </c>
      <c r="W96" s="13" t="s">
        <v>310</v>
      </c>
      <c r="X96" s="13">
        <v>7387087517</v>
      </c>
      <c r="Y96" s="13">
        <v>26</v>
      </c>
      <c r="Z96" s="13" t="s">
        <v>297</v>
      </c>
      <c r="AA96" s="13" t="s">
        <v>468</v>
      </c>
      <c r="AB96" s="14">
        <v>45055</v>
      </c>
      <c r="AC96" s="13">
        <v>2097.48</v>
      </c>
      <c r="AD96" s="13" t="s">
        <v>311</v>
      </c>
      <c r="AE96" s="13" t="s">
        <v>376</v>
      </c>
    </row>
    <row r="97" spans="1:31" x14ac:dyDescent="0.3">
      <c r="A97" s="16" t="s">
        <v>157</v>
      </c>
      <c r="B97" s="16" t="s">
        <v>99</v>
      </c>
      <c r="C97" s="16" t="s">
        <v>18</v>
      </c>
      <c r="D97" s="17">
        <v>45114</v>
      </c>
      <c r="E97" s="18">
        <v>0.625</v>
      </c>
      <c r="F97" s="16" t="s">
        <v>11</v>
      </c>
      <c r="G97" s="16" t="s">
        <v>34</v>
      </c>
      <c r="H97" s="16" t="s">
        <v>413</v>
      </c>
      <c r="I97" s="16" t="s">
        <v>364</v>
      </c>
      <c r="J97" s="16">
        <v>812.41</v>
      </c>
      <c r="K97" s="17">
        <v>45114</v>
      </c>
      <c r="L97" s="16" t="s">
        <v>390</v>
      </c>
      <c r="M97" s="16" t="s">
        <v>432</v>
      </c>
      <c r="N97" s="16" t="s">
        <v>481</v>
      </c>
      <c r="O97" s="17">
        <v>29637</v>
      </c>
      <c r="P97" s="16">
        <v>9019443432</v>
      </c>
      <c r="Q97" s="16" t="s">
        <v>357</v>
      </c>
      <c r="R97" s="17">
        <v>44257</v>
      </c>
      <c r="S97" s="16" t="s">
        <v>372</v>
      </c>
      <c r="T97" s="16" t="s">
        <v>441</v>
      </c>
      <c r="U97" s="16" t="s">
        <v>381</v>
      </c>
      <c r="V97" s="16" t="s">
        <v>345</v>
      </c>
      <c r="W97" s="16" t="s">
        <v>310</v>
      </c>
      <c r="X97" s="16">
        <v>8737740598</v>
      </c>
      <c r="Y97" s="16">
        <v>19</v>
      </c>
      <c r="Z97" s="16" t="s">
        <v>298</v>
      </c>
      <c r="AA97" s="16" t="s">
        <v>442</v>
      </c>
      <c r="AB97" s="17">
        <v>44961</v>
      </c>
      <c r="AC97" s="16">
        <v>4550.1000000000004</v>
      </c>
      <c r="AD97" s="16" t="s">
        <v>316</v>
      </c>
      <c r="AE97" s="16" t="s">
        <v>376</v>
      </c>
    </row>
    <row r="98" spans="1:31" x14ac:dyDescent="0.3">
      <c r="A98" s="13" t="s">
        <v>158</v>
      </c>
      <c r="B98" s="13" t="s">
        <v>116</v>
      </c>
      <c r="C98" s="13" t="s">
        <v>52</v>
      </c>
      <c r="D98" s="14">
        <v>45052</v>
      </c>
      <c r="E98" s="15">
        <v>0.61458333333333337</v>
      </c>
      <c r="F98" s="13" t="s">
        <v>31</v>
      </c>
      <c r="G98" s="13" t="s">
        <v>8</v>
      </c>
      <c r="H98" s="13" t="s">
        <v>342</v>
      </c>
      <c r="I98" s="13" t="s">
        <v>343</v>
      </c>
      <c r="J98" s="13">
        <v>2835.77</v>
      </c>
      <c r="K98" s="14">
        <v>45052</v>
      </c>
      <c r="L98" s="13" t="s">
        <v>404</v>
      </c>
      <c r="M98" s="13" t="s">
        <v>371</v>
      </c>
      <c r="N98" s="13" t="s">
        <v>482</v>
      </c>
      <c r="O98" s="14">
        <v>34330</v>
      </c>
      <c r="P98" s="13">
        <v>8301134730</v>
      </c>
      <c r="Q98" s="13" t="s">
        <v>347</v>
      </c>
      <c r="R98" s="14">
        <v>45044</v>
      </c>
      <c r="S98" s="13" t="s">
        <v>348</v>
      </c>
      <c r="T98" s="13" t="s">
        <v>451</v>
      </c>
      <c r="U98" s="13" t="s">
        <v>360</v>
      </c>
      <c r="V98" s="13" t="s">
        <v>391</v>
      </c>
      <c r="W98" s="13" t="s">
        <v>308</v>
      </c>
      <c r="X98" s="13">
        <v>8322010158</v>
      </c>
      <c r="Y98" s="13">
        <v>17</v>
      </c>
      <c r="Z98" s="13" t="s">
        <v>299</v>
      </c>
      <c r="AA98" s="13" t="s">
        <v>452</v>
      </c>
      <c r="AB98" s="14">
        <v>45106</v>
      </c>
      <c r="AC98" s="13">
        <v>1256.06</v>
      </c>
      <c r="AD98" s="13" t="s">
        <v>317</v>
      </c>
      <c r="AE98" s="13" t="s">
        <v>376</v>
      </c>
    </row>
    <row r="99" spans="1:31" x14ac:dyDescent="0.3">
      <c r="A99" s="16" t="s">
        <v>159</v>
      </c>
      <c r="B99" s="16" t="s">
        <v>21</v>
      </c>
      <c r="C99" s="16" t="s">
        <v>67</v>
      </c>
      <c r="D99" s="17">
        <v>45002</v>
      </c>
      <c r="E99" s="18">
        <v>0.54166666666666663</v>
      </c>
      <c r="F99" s="16" t="s">
        <v>19</v>
      </c>
      <c r="G99" s="16" t="s">
        <v>34</v>
      </c>
      <c r="H99" s="16" t="s">
        <v>377</v>
      </c>
      <c r="I99" s="16" t="s">
        <v>354</v>
      </c>
      <c r="J99" s="16">
        <v>804.26</v>
      </c>
      <c r="K99" s="17">
        <v>45002</v>
      </c>
      <c r="L99" s="16" t="s">
        <v>383</v>
      </c>
      <c r="M99" s="16" t="s">
        <v>366</v>
      </c>
      <c r="N99" s="16" t="s">
        <v>481</v>
      </c>
      <c r="O99" s="17">
        <v>24222</v>
      </c>
      <c r="P99" s="16">
        <v>7579616535</v>
      </c>
      <c r="Q99" s="16" t="s">
        <v>347</v>
      </c>
      <c r="R99" s="17">
        <v>44219</v>
      </c>
      <c r="S99" s="16" t="s">
        <v>358</v>
      </c>
      <c r="T99" s="16" t="s">
        <v>384</v>
      </c>
      <c r="U99" s="16" t="s">
        <v>350</v>
      </c>
      <c r="V99" s="16" t="s">
        <v>391</v>
      </c>
      <c r="W99" s="16" t="s">
        <v>308</v>
      </c>
      <c r="X99" s="16">
        <v>9118538547</v>
      </c>
      <c r="Y99" s="16">
        <v>26</v>
      </c>
      <c r="Z99" s="16" t="s">
        <v>297</v>
      </c>
      <c r="AA99" s="16" t="s">
        <v>385</v>
      </c>
      <c r="AB99" s="17">
        <v>45096</v>
      </c>
      <c r="AC99" s="16">
        <v>1381</v>
      </c>
      <c r="AD99" s="16" t="s">
        <v>317</v>
      </c>
      <c r="AE99" s="16" t="s">
        <v>352</v>
      </c>
    </row>
    <row r="100" spans="1:31" x14ac:dyDescent="0.3">
      <c r="A100" s="13" t="s">
        <v>160</v>
      </c>
      <c r="B100" s="13" t="s">
        <v>161</v>
      </c>
      <c r="C100" s="13" t="s">
        <v>25</v>
      </c>
      <c r="D100" s="14">
        <v>45111</v>
      </c>
      <c r="E100" s="15">
        <v>0.625</v>
      </c>
      <c r="F100" s="13" t="s">
        <v>22</v>
      </c>
      <c r="G100" s="13" t="s">
        <v>34</v>
      </c>
      <c r="H100" s="13" t="s">
        <v>353</v>
      </c>
      <c r="I100" s="13" t="s">
        <v>343</v>
      </c>
      <c r="J100" s="13">
        <v>4101.6000000000004</v>
      </c>
      <c r="K100" s="14">
        <v>45111</v>
      </c>
      <c r="L100" s="13" t="s">
        <v>365</v>
      </c>
      <c r="M100" s="13" t="s">
        <v>361</v>
      </c>
      <c r="N100" s="13" t="s">
        <v>481</v>
      </c>
      <c r="O100" s="14">
        <v>24445</v>
      </c>
      <c r="P100" s="13">
        <v>8990604070</v>
      </c>
      <c r="Q100" s="13" t="s">
        <v>386</v>
      </c>
      <c r="R100" s="14">
        <v>44831</v>
      </c>
      <c r="S100" s="13" t="s">
        <v>358</v>
      </c>
      <c r="T100" s="13" t="s">
        <v>469</v>
      </c>
      <c r="U100" s="13" t="s">
        <v>370</v>
      </c>
      <c r="V100" s="13" t="s">
        <v>374</v>
      </c>
      <c r="W100" s="13" t="s">
        <v>309</v>
      </c>
      <c r="X100" s="13">
        <v>8217493115</v>
      </c>
      <c r="Y100" s="13">
        <v>26</v>
      </c>
      <c r="Z100" s="13" t="s">
        <v>299</v>
      </c>
      <c r="AA100" s="13" t="s">
        <v>470</v>
      </c>
      <c r="AB100" s="14">
        <v>45111</v>
      </c>
      <c r="AC100" s="13">
        <v>4101.6000000000004</v>
      </c>
      <c r="AD100" s="13" t="s">
        <v>316</v>
      </c>
      <c r="AE100" s="13" t="s">
        <v>352</v>
      </c>
    </row>
    <row r="101" spans="1:31" x14ac:dyDescent="0.3">
      <c r="A101" s="16" t="s">
        <v>162</v>
      </c>
      <c r="B101" s="16" t="s">
        <v>38</v>
      </c>
      <c r="C101" s="16" t="s">
        <v>15</v>
      </c>
      <c r="D101" s="17">
        <v>44987</v>
      </c>
      <c r="E101" s="18">
        <v>0.33333333333333331</v>
      </c>
      <c r="F101" s="16" t="s">
        <v>19</v>
      </c>
      <c r="G101" s="16" t="s">
        <v>4</v>
      </c>
      <c r="H101" s="16" t="s">
        <v>389</v>
      </c>
      <c r="I101" s="16" t="s">
        <v>354</v>
      </c>
      <c r="J101" s="16">
        <v>1551.7</v>
      </c>
      <c r="K101" s="17">
        <v>44987</v>
      </c>
      <c r="L101" s="16" t="s">
        <v>360</v>
      </c>
      <c r="M101" s="16" t="s">
        <v>345</v>
      </c>
      <c r="N101" s="16" t="s">
        <v>482</v>
      </c>
      <c r="O101" s="17">
        <v>38487</v>
      </c>
      <c r="P101" s="16">
        <v>8923607677</v>
      </c>
      <c r="Q101" s="16" t="s">
        <v>386</v>
      </c>
      <c r="R101" s="17">
        <v>45035</v>
      </c>
      <c r="S101" s="16" t="s">
        <v>372</v>
      </c>
      <c r="T101" s="16" t="s">
        <v>402</v>
      </c>
      <c r="U101" s="16" t="s">
        <v>344</v>
      </c>
      <c r="V101" s="16" t="s">
        <v>374</v>
      </c>
      <c r="W101" s="16" t="s">
        <v>310</v>
      </c>
      <c r="X101" s="16">
        <v>6570137231</v>
      </c>
      <c r="Y101" s="16">
        <v>23</v>
      </c>
      <c r="Z101" s="16" t="s">
        <v>297</v>
      </c>
      <c r="AA101" s="16" t="s">
        <v>403</v>
      </c>
      <c r="AB101" s="17">
        <v>45053</v>
      </c>
      <c r="AC101" s="16">
        <v>771.2</v>
      </c>
      <c r="AD101" s="16" t="s">
        <v>317</v>
      </c>
      <c r="AE101" s="16" t="s">
        <v>352</v>
      </c>
    </row>
    <row r="102" spans="1:31" x14ac:dyDescent="0.3">
      <c r="A102" s="13" t="s">
        <v>163</v>
      </c>
      <c r="B102" s="13" t="s">
        <v>77</v>
      </c>
      <c r="C102" s="13" t="s">
        <v>52</v>
      </c>
      <c r="D102" s="14">
        <v>45190</v>
      </c>
      <c r="E102" s="15">
        <v>0.55208333333333337</v>
      </c>
      <c r="F102" s="13" t="s">
        <v>3</v>
      </c>
      <c r="G102" s="13" t="s">
        <v>4</v>
      </c>
      <c r="H102" s="13" t="s">
        <v>353</v>
      </c>
      <c r="I102" s="13" t="s">
        <v>364</v>
      </c>
      <c r="J102" s="13">
        <v>2930.05</v>
      </c>
      <c r="K102" s="14">
        <v>45190</v>
      </c>
      <c r="L102" s="13" t="s">
        <v>390</v>
      </c>
      <c r="M102" s="13" t="s">
        <v>371</v>
      </c>
      <c r="N102" s="13" t="s">
        <v>482</v>
      </c>
      <c r="O102" s="14">
        <v>35790</v>
      </c>
      <c r="P102" s="13">
        <v>8545613046</v>
      </c>
      <c r="Q102" s="13" t="s">
        <v>357</v>
      </c>
      <c r="R102" s="14">
        <v>44838</v>
      </c>
      <c r="S102" s="13" t="s">
        <v>358</v>
      </c>
      <c r="T102" s="13" t="s">
        <v>428</v>
      </c>
      <c r="U102" s="13" t="s">
        <v>360</v>
      </c>
      <c r="V102" s="13" t="s">
        <v>391</v>
      </c>
      <c r="W102" s="13" t="s">
        <v>308</v>
      </c>
      <c r="X102" s="13">
        <v>8322010158</v>
      </c>
      <c r="Y102" s="13">
        <v>17</v>
      </c>
      <c r="Z102" s="13" t="s">
        <v>299</v>
      </c>
      <c r="AA102" s="13" t="s">
        <v>429</v>
      </c>
      <c r="AB102" s="14">
        <v>45034</v>
      </c>
      <c r="AC102" s="13">
        <v>1654.53</v>
      </c>
      <c r="AD102" s="13" t="s">
        <v>317</v>
      </c>
      <c r="AE102" s="13" t="s">
        <v>376</v>
      </c>
    </row>
    <row r="103" spans="1:31" x14ac:dyDescent="0.3">
      <c r="A103" s="16" t="s">
        <v>164</v>
      </c>
      <c r="B103" s="16" t="s">
        <v>14</v>
      </c>
      <c r="C103" s="16" t="s">
        <v>67</v>
      </c>
      <c r="D103" s="17">
        <v>45224</v>
      </c>
      <c r="E103" s="18">
        <v>0.375</v>
      </c>
      <c r="F103" s="16" t="s">
        <v>22</v>
      </c>
      <c r="G103" s="16" t="s">
        <v>8</v>
      </c>
      <c r="H103" s="16" t="s">
        <v>353</v>
      </c>
      <c r="I103" s="16" t="s">
        <v>343</v>
      </c>
      <c r="J103" s="16">
        <v>4460.3599999999997</v>
      </c>
      <c r="K103" s="17">
        <v>45224</v>
      </c>
      <c r="L103" s="16" t="s">
        <v>370</v>
      </c>
      <c r="M103" s="16" t="s">
        <v>371</v>
      </c>
      <c r="N103" s="16" t="s">
        <v>482</v>
      </c>
      <c r="O103" s="17">
        <v>24333</v>
      </c>
      <c r="P103" s="16">
        <v>7482069727</v>
      </c>
      <c r="Q103" s="16" t="s">
        <v>357</v>
      </c>
      <c r="R103" s="17">
        <v>44448</v>
      </c>
      <c r="S103" s="16" t="s">
        <v>372</v>
      </c>
      <c r="T103" s="16" t="s">
        <v>373</v>
      </c>
      <c r="U103" s="16" t="s">
        <v>350</v>
      </c>
      <c r="V103" s="16" t="s">
        <v>391</v>
      </c>
      <c r="W103" s="16" t="s">
        <v>308</v>
      </c>
      <c r="X103" s="16">
        <v>9118538547</v>
      </c>
      <c r="Y103" s="16">
        <v>26</v>
      </c>
      <c r="Z103" s="16" t="s">
        <v>297</v>
      </c>
      <c r="AA103" s="16" t="s">
        <v>375</v>
      </c>
      <c r="AB103" s="17">
        <v>45170</v>
      </c>
      <c r="AC103" s="16">
        <v>4799.8599999999997</v>
      </c>
      <c r="AD103" s="16" t="s">
        <v>317</v>
      </c>
      <c r="AE103" s="16" t="s">
        <v>376</v>
      </c>
    </row>
    <row r="104" spans="1:31" x14ac:dyDescent="0.3">
      <c r="A104" s="13" t="s">
        <v>165</v>
      </c>
      <c r="B104" s="13" t="s">
        <v>74</v>
      </c>
      <c r="C104" s="13" t="s">
        <v>67</v>
      </c>
      <c r="D104" s="14">
        <v>44950</v>
      </c>
      <c r="E104" s="15">
        <v>0.35416666666666669</v>
      </c>
      <c r="F104" s="13" t="s">
        <v>3</v>
      </c>
      <c r="G104" s="13" t="s">
        <v>12</v>
      </c>
      <c r="H104" s="13" t="s">
        <v>377</v>
      </c>
      <c r="I104" s="13" t="s">
        <v>343</v>
      </c>
      <c r="J104" s="13">
        <v>3428.95</v>
      </c>
      <c r="K104" s="14">
        <v>44950</v>
      </c>
      <c r="L104" s="13" t="s">
        <v>390</v>
      </c>
      <c r="M104" s="13" t="s">
        <v>371</v>
      </c>
      <c r="N104" s="13" t="s">
        <v>482</v>
      </c>
      <c r="O104" s="14">
        <v>37316</v>
      </c>
      <c r="P104" s="13">
        <v>7765390555</v>
      </c>
      <c r="Q104" s="13" t="s">
        <v>347</v>
      </c>
      <c r="R104" s="14">
        <v>44580</v>
      </c>
      <c r="S104" s="13" t="s">
        <v>348</v>
      </c>
      <c r="T104" s="13" t="s">
        <v>426</v>
      </c>
      <c r="U104" s="13" t="s">
        <v>350</v>
      </c>
      <c r="V104" s="13" t="s">
        <v>391</v>
      </c>
      <c r="W104" s="13" t="s">
        <v>308</v>
      </c>
      <c r="X104" s="13">
        <v>9118538547</v>
      </c>
      <c r="Y104" s="13">
        <v>26</v>
      </c>
      <c r="Z104" s="13" t="s">
        <v>297</v>
      </c>
      <c r="AA104" s="13" t="s">
        <v>427</v>
      </c>
      <c r="AB104" s="14">
        <v>45192</v>
      </c>
      <c r="AC104" s="13">
        <v>980.95</v>
      </c>
      <c r="AD104" s="13" t="s">
        <v>316</v>
      </c>
      <c r="AE104" s="13" t="s">
        <v>363</v>
      </c>
    </row>
    <row r="105" spans="1:31" x14ac:dyDescent="0.3">
      <c r="A105" s="16" t="s">
        <v>166</v>
      </c>
      <c r="B105" s="16" t="s">
        <v>77</v>
      </c>
      <c r="C105" s="16" t="s">
        <v>15</v>
      </c>
      <c r="D105" s="17">
        <v>45034</v>
      </c>
      <c r="E105" s="18">
        <v>0.36458333333333331</v>
      </c>
      <c r="F105" s="16" t="s">
        <v>31</v>
      </c>
      <c r="G105" s="16" t="s">
        <v>34</v>
      </c>
      <c r="H105" s="16" t="s">
        <v>377</v>
      </c>
      <c r="I105" s="16" t="s">
        <v>354</v>
      </c>
      <c r="J105" s="16">
        <v>2898.31</v>
      </c>
      <c r="K105" s="17">
        <v>45034</v>
      </c>
      <c r="L105" s="16" t="s">
        <v>390</v>
      </c>
      <c r="M105" s="16" t="s">
        <v>371</v>
      </c>
      <c r="N105" s="16" t="s">
        <v>482</v>
      </c>
      <c r="O105" s="17">
        <v>35790</v>
      </c>
      <c r="P105" s="16">
        <v>8545613046</v>
      </c>
      <c r="Q105" s="16" t="s">
        <v>357</v>
      </c>
      <c r="R105" s="17">
        <v>44838</v>
      </c>
      <c r="S105" s="16" t="s">
        <v>358</v>
      </c>
      <c r="T105" s="16" t="s">
        <v>428</v>
      </c>
      <c r="U105" s="16" t="s">
        <v>344</v>
      </c>
      <c r="V105" s="16" t="s">
        <v>374</v>
      </c>
      <c r="W105" s="16" t="s">
        <v>310</v>
      </c>
      <c r="X105" s="16">
        <v>6570137231</v>
      </c>
      <c r="Y105" s="16">
        <v>23</v>
      </c>
      <c r="Z105" s="16" t="s">
        <v>297</v>
      </c>
      <c r="AA105" s="16" t="s">
        <v>429</v>
      </c>
      <c r="AB105" s="17">
        <v>45034</v>
      </c>
      <c r="AC105" s="16">
        <v>1654.53</v>
      </c>
      <c r="AD105" s="16" t="s">
        <v>317</v>
      </c>
      <c r="AE105" s="16" t="s">
        <v>376</v>
      </c>
    </row>
    <row r="106" spans="1:31" x14ac:dyDescent="0.3">
      <c r="A106" s="13" t="s">
        <v>167</v>
      </c>
      <c r="B106" s="13" t="s">
        <v>85</v>
      </c>
      <c r="C106" s="13" t="s">
        <v>18</v>
      </c>
      <c r="D106" s="14">
        <v>45152</v>
      </c>
      <c r="E106" s="15">
        <v>0.66666666666666663</v>
      </c>
      <c r="F106" s="13" t="s">
        <v>22</v>
      </c>
      <c r="G106" s="13" t="s">
        <v>8</v>
      </c>
      <c r="H106" s="13" t="s">
        <v>377</v>
      </c>
      <c r="I106" s="13" t="s">
        <v>343</v>
      </c>
      <c r="J106" s="13">
        <v>1959.5</v>
      </c>
      <c r="K106" s="14">
        <v>45152</v>
      </c>
      <c r="L106" s="13" t="s">
        <v>390</v>
      </c>
      <c r="M106" s="13" t="s">
        <v>391</v>
      </c>
      <c r="N106" s="13" t="s">
        <v>482</v>
      </c>
      <c r="O106" s="14">
        <v>37177</v>
      </c>
      <c r="P106" s="13">
        <v>7081396733</v>
      </c>
      <c r="Q106" s="13" t="s">
        <v>357</v>
      </c>
      <c r="R106" s="14">
        <v>44797</v>
      </c>
      <c r="S106" s="13" t="s">
        <v>348</v>
      </c>
      <c r="T106" s="13" t="s">
        <v>435</v>
      </c>
      <c r="U106" s="13" t="s">
        <v>381</v>
      </c>
      <c r="V106" s="13" t="s">
        <v>345</v>
      </c>
      <c r="W106" s="13" t="s">
        <v>310</v>
      </c>
      <c r="X106" s="13">
        <v>8737740598</v>
      </c>
      <c r="Y106" s="13">
        <v>19</v>
      </c>
      <c r="Z106" s="13" t="s">
        <v>298</v>
      </c>
      <c r="AA106" s="13" t="s">
        <v>436</v>
      </c>
      <c r="AB106" s="14">
        <v>45012</v>
      </c>
      <c r="AC106" s="13">
        <v>695.36</v>
      </c>
      <c r="AD106" s="13" t="s">
        <v>311</v>
      </c>
      <c r="AE106" s="13" t="s">
        <v>376</v>
      </c>
    </row>
    <row r="107" spans="1:31" x14ac:dyDescent="0.3">
      <c r="A107" s="16" t="s">
        <v>168</v>
      </c>
      <c r="B107" s="16" t="s">
        <v>49</v>
      </c>
      <c r="C107" s="16" t="s">
        <v>67</v>
      </c>
      <c r="D107" s="17">
        <v>45228</v>
      </c>
      <c r="E107" s="18">
        <v>0.46875</v>
      </c>
      <c r="F107" s="16" t="s">
        <v>3</v>
      </c>
      <c r="G107" s="16" t="s">
        <v>4</v>
      </c>
      <c r="H107" s="16" t="s">
        <v>413</v>
      </c>
      <c r="I107" s="16" t="s">
        <v>354</v>
      </c>
      <c r="J107" s="16">
        <v>1998.51</v>
      </c>
      <c r="K107" s="17">
        <v>45228</v>
      </c>
      <c r="L107" s="16" t="s">
        <v>370</v>
      </c>
      <c r="M107" s="16" t="s">
        <v>378</v>
      </c>
      <c r="N107" s="16" t="s">
        <v>482</v>
      </c>
      <c r="O107" s="17">
        <v>36196</v>
      </c>
      <c r="P107" s="16">
        <v>8886800195</v>
      </c>
      <c r="Q107" s="16" t="s">
        <v>379</v>
      </c>
      <c r="R107" s="17">
        <v>44469</v>
      </c>
      <c r="S107" s="16" t="s">
        <v>372</v>
      </c>
      <c r="T107" s="16" t="s">
        <v>411</v>
      </c>
      <c r="U107" s="16" t="s">
        <v>350</v>
      </c>
      <c r="V107" s="16" t="s">
        <v>391</v>
      </c>
      <c r="W107" s="16" t="s">
        <v>308</v>
      </c>
      <c r="X107" s="16">
        <v>9118538547</v>
      </c>
      <c r="Y107" s="16">
        <v>26</v>
      </c>
      <c r="Z107" s="16" t="s">
        <v>297</v>
      </c>
      <c r="AA107" s="16" t="s">
        <v>412</v>
      </c>
      <c r="AB107" s="17">
        <v>45118</v>
      </c>
      <c r="AC107" s="16">
        <v>1655.49</v>
      </c>
      <c r="AD107" s="16" t="s">
        <v>316</v>
      </c>
      <c r="AE107" s="16" t="s">
        <v>352</v>
      </c>
    </row>
    <row r="108" spans="1:31" x14ac:dyDescent="0.3">
      <c r="A108" s="13" t="s">
        <v>169</v>
      </c>
      <c r="B108" s="13" t="s">
        <v>170</v>
      </c>
      <c r="C108" s="13" t="s">
        <v>25</v>
      </c>
      <c r="D108" s="14">
        <v>45033</v>
      </c>
      <c r="E108" s="15">
        <v>0.57291666666666663</v>
      </c>
      <c r="F108" s="13" t="s">
        <v>31</v>
      </c>
      <c r="G108" s="13" t="s">
        <v>34</v>
      </c>
      <c r="H108" s="13" t="s">
        <v>342</v>
      </c>
      <c r="I108" s="13" t="s">
        <v>354</v>
      </c>
      <c r="J108" s="13">
        <v>3512.69</v>
      </c>
      <c r="K108" s="14">
        <v>45033</v>
      </c>
      <c r="L108" s="13" t="s">
        <v>404</v>
      </c>
      <c r="M108" s="13" t="s">
        <v>374</v>
      </c>
      <c r="N108" s="13" t="s">
        <v>482</v>
      </c>
      <c r="O108" s="14">
        <v>26278</v>
      </c>
      <c r="P108" s="13">
        <v>7060324619</v>
      </c>
      <c r="Q108" s="13" t="s">
        <v>347</v>
      </c>
      <c r="R108" s="14">
        <v>44822</v>
      </c>
      <c r="S108" s="13" t="s">
        <v>367</v>
      </c>
      <c r="T108" s="13" t="s">
        <v>471</v>
      </c>
      <c r="U108" s="13" t="s">
        <v>370</v>
      </c>
      <c r="V108" s="13" t="s">
        <v>374</v>
      </c>
      <c r="W108" s="13" t="s">
        <v>309</v>
      </c>
      <c r="X108" s="13">
        <v>8217493115</v>
      </c>
      <c r="Y108" s="13">
        <v>26</v>
      </c>
      <c r="Z108" s="13" t="s">
        <v>299</v>
      </c>
      <c r="AA108" s="13" t="s">
        <v>472</v>
      </c>
      <c r="AB108" s="14">
        <v>45033</v>
      </c>
      <c r="AC108" s="13">
        <v>3512.69</v>
      </c>
      <c r="AD108" s="13" t="s">
        <v>316</v>
      </c>
      <c r="AE108" s="13" t="s">
        <v>352</v>
      </c>
    </row>
    <row r="109" spans="1:31" x14ac:dyDescent="0.3">
      <c r="A109" s="16" t="s">
        <v>171</v>
      </c>
      <c r="B109" s="16" t="s">
        <v>102</v>
      </c>
      <c r="C109" s="16" t="s">
        <v>67</v>
      </c>
      <c r="D109" s="17">
        <v>45037</v>
      </c>
      <c r="E109" s="18">
        <v>0.625</v>
      </c>
      <c r="F109" s="16" t="s">
        <v>19</v>
      </c>
      <c r="G109" s="16" t="s">
        <v>12</v>
      </c>
      <c r="H109" s="16" t="s">
        <v>413</v>
      </c>
      <c r="I109" s="16" t="s">
        <v>354</v>
      </c>
      <c r="J109" s="16">
        <v>4973.63</v>
      </c>
      <c r="K109" s="17">
        <v>45037</v>
      </c>
      <c r="L109" s="16" t="s">
        <v>350</v>
      </c>
      <c r="M109" s="16" t="s">
        <v>399</v>
      </c>
      <c r="N109" s="16" t="s">
        <v>481</v>
      </c>
      <c r="O109" s="17">
        <v>33546</v>
      </c>
      <c r="P109" s="16">
        <v>7196777444</v>
      </c>
      <c r="Q109" s="16" t="s">
        <v>347</v>
      </c>
      <c r="R109" s="17">
        <v>44441</v>
      </c>
      <c r="S109" s="16" t="s">
        <v>348</v>
      </c>
      <c r="T109" s="16" t="s">
        <v>443</v>
      </c>
      <c r="U109" s="16" t="s">
        <v>350</v>
      </c>
      <c r="V109" s="16" t="s">
        <v>391</v>
      </c>
      <c r="W109" s="16" t="s">
        <v>308</v>
      </c>
      <c r="X109" s="16">
        <v>9118538547</v>
      </c>
      <c r="Y109" s="16">
        <v>26</v>
      </c>
      <c r="Z109" s="16" t="s">
        <v>297</v>
      </c>
      <c r="AA109" s="16" t="s">
        <v>444</v>
      </c>
      <c r="AB109" s="17">
        <v>44969</v>
      </c>
      <c r="AC109" s="16">
        <v>1565.92</v>
      </c>
      <c r="AD109" s="16" t="s">
        <v>317</v>
      </c>
      <c r="AE109" s="16" t="s">
        <v>352</v>
      </c>
    </row>
    <row r="110" spans="1:31" x14ac:dyDescent="0.3">
      <c r="A110" s="13" t="s">
        <v>172</v>
      </c>
      <c r="B110" s="13" t="s">
        <v>118</v>
      </c>
      <c r="C110" s="13" t="s">
        <v>67</v>
      </c>
      <c r="D110" s="14">
        <v>45136</v>
      </c>
      <c r="E110" s="15">
        <v>0.58333333333333337</v>
      </c>
      <c r="F110" s="13" t="s">
        <v>31</v>
      </c>
      <c r="G110" s="13" t="s">
        <v>4</v>
      </c>
      <c r="H110" s="13" t="s">
        <v>342</v>
      </c>
      <c r="I110" s="13" t="s">
        <v>354</v>
      </c>
      <c r="J110" s="13">
        <v>3478.28</v>
      </c>
      <c r="K110" s="14">
        <v>45136</v>
      </c>
      <c r="L110" s="13" t="s">
        <v>360</v>
      </c>
      <c r="M110" s="13" t="s">
        <v>371</v>
      </c>
      <c r="N110" s="13" t="s">
        <v>481</v>
      </c>
      <c r="O110" s="14">
        <v>34072</v>
      </c>
      <c r="P110" s="13">
        <v>7039619487</v>
      </c>
      <c r="Q110" s="13" t="s">
        <v>357</v>
      </c>
      <c r="R110" s="14">
        <v>45116</v>
      </c>
      <c r="S110" s="13" t="s">
        <v>358</v>
      </c>
      <c r="T110" s="13" t="s">
        <v>453</v>
      </c>
      <c r="U110" s="13" t="s">
        <v>350</v>
      </c>
      <c r="V110" s="13" t="s">
        <v>391</v>
      </c>
      <c r="W110" s="13" t="s">
        <v>308</v>
      </c>
      <c r="X110" s="13">
        <v>9118538547</v>
      </c>
      <c r="Y110" s="13">
        <v>26</v>
      </c>
      <c r="Z110" s="13" t="s">
        <v>297</v>
      </c>
      <c r="AA110" s="13" t="s">
        <v>454</v>
      </c>
      <c r="AB110" s="14">
        <v>45077</v>
      </c>
      <c r="AC110" s="13">
        <v>3815.93</v>
      </c>
      <c r="AD110" s="13" t="s">
        <v>311</v>
      </c>
      <c r="AE110" s="13" t="s">
        <v>363</v>
      </c>
    </row>
    <row r="111" spans="1:31" x14ac:dyDescent="0.3">
      <c r="A111" s="16" t="s">
        <v>173</v>
      </c>
      <c r="B111" s="16" t="s">
        <v>61</v>
      </c>
      <c r="C111" s="16" t="s">
        <v>67</v>
      </c>
      <c r="D111" s="17">
        <v>45126</v>
      </c>
      <c r="E111" s="18">
        <v>0.60416666666666663</v>
      </c>
      <c r="F111" s="16" t="s">
        <v>11</v>
      </c>
      <c r="G111" s="16" t="s">
        <v>4</v>
      </c>
      <c r="H111" s="16" t="s">
        <v>342</v>
      </c>
      <c r="I111" s="16" t="s">
        <v>364</v>
      </c>
      <c r="J111" s="16">
        <v>3010.03</v>
      </c>
      <c r="K111" s="17">
        <v>45126</v>
      </c>
      <c r="L111" s="16" t="s">
        <v>360</v>
      </c>
      <c r="M111" s="16" t="s">
        <v>355</v>
      </c>
      <c r="N111" s="16" t="s">
        <v>482</v>
      </c>
      <c r="O111" s="17">
        <v>26629</v>
      </c>
      <c r="P111" s="16">
        <v>7712937941</v>
      </c>
      <c r="Q111" s="16" t="s">
        <v>347</v>
      </c>
      <c r="R111" s="17">
        <v>45091</v>
      </c>
      <c r="S111" s="16" t="s">
        <v>358</v>
      </c>
      <c r="T111" s="16" t="s">
        <v>420</v>
      </c>
      <c r="U111" s="16" t="s">
        <v>350</v>
      </c>
      <c r="V111" s="16" t="s">
        <v>391</v>
      </c>
      <c r="W111" s="16" t="s">
        <v>308</v>
      </c>
      <c r="X111" s="16">
        <v>9118538547</v>
      </c>
      <c r="Y111" s="16">
        <v>26</v>
      </c>
      <c r="Z111" s="16" t="s">
        <v>297</v>
      </c>
      <c r="AA111" s="16" t="s">
        <v>421</v>
      </c>
      <c r="AB111" s="17">
        <v>45098</v>
      </c>
      <c r="AC111" s="16">
        <v>3722.68</v>
      </c>
      <c r="AD111" s="16" t="s">
        <v>311</v>
      </c>
      <c r="AE111" s="16" t="s">
        <v>352</v>
      </c>
    </row>
    <row r="112" spans="1:31" x14ac:dyDescent="0.3">
      <c r="A112" s="13" t="s">
        <v>174</v>
      </c>
      <c r="B112" s="13" t="s">
        <v>118</v>
      </c>
      <c r="C112" s="13" t="s">
        <v>28</v>
      </c>
      <c r="D112" s="14">
        <v>45068</v>
      </c>
      <c r="E112" s="15">
        <v>0.64583333333333337</v>
      </c>
      <c r="F112" s="13" t="s">
        <v>31</v>
      </c>
      <c r="G112" s="13" t="s">
        <v>4</v>
      </c>
      <c r="H112" s="13" t="s">
        <v>353</v>
      </c>
      <c r="I112" s="13" t="s">
        <v>354</v>
      </c>
      <c r="J112" s="13">
        <v>3787.93</v>
      </c>
      <c r="K112" s="14">
        <v>45068</v>
      </c>
      <c r="L112" s="13" t="s">
        <v>360</v>
      </c>
      <c r="M112" s="13" t="s">
        <v>371</v>
      </c>
      <c r="N112" s="13" t="s">
        <v>481</v>
      </c>
      <c r="O112" s="14">
        <v>34072</v>
      </c>
      <c r="P112" s="13">
        <v>7039619487</v>
      </c>
      <c r="Q112" s="13" t="s">
        <v>357</v>
      </c>
      <c r="R112" s="14">
        <v>45116</v>
      </c>
      <c r="S112" s="13" t="s">
        <v>358</v>
      </c>
      <c r="T112" s="13" t="s">
        <v>453</v>
      </c>
      <c r="U112" s="13" t="s">
        <v>383</v>
      </c>
      <c r="V112" s="13" t="s">
        <v>371</v>
      </c>
      <c r="W112" s="13" t="s">
        <v>309</v>
      </c>
      <c r="X112" s="13">
        <v>6176383634</v>
      </c>
      <c r="Y112" s="13">
        <v>21</v>
      </c>
      <c r="Z112" s="13" t="s">
        <v>298</v>
      </c>
      <c r="AA112" s="13" t="s">
        <v>454</v>
      </c>
      <c r="AB112" s="14">
        <v>45077</v>
      </c>
      <c r="AC112" s="13">
        <v>3815.93</v>
      </c>
      <c r="AD112" s="13" t="s">
        <v>311</v>
      </c>
      <c r="AE112" s="13" t="s">
        <v>363</v>
      </c>
    </row>
    <row r="113" spans="1:31" x14ac:dyDescent="0.3">
      <c r="A113" s="16" t="s">
        <v>175</v>
      </c>
      <c r="B113" s="16" t="s">
        <v>10</v>
      </c>
      <c r="C113" s="16" t="s">
        <v>28</v>
      </c>
      <c r="D113" s="17">
        <v>44937</v>
      </c>
      <c r="E113" s="18">
        <v>0.33333333333333331</v>
      </c>
      <c r="F113" s="16" t="s">
        <v>31</v>
      </c>
      <c r="G113" s="16" t="s">
        <v>8</v>
      </c>
      <c r="H113" s="16" t="s">
        <v>353</v>
      </c>
      <c r="I113" s="16" t="s">
        <v>343</v>
      </c>
      <c r="J113" s="16">
        <v>2593.4299999999998</v>
      </c>
      <c r="K113" s="17">
        <v>44937</v>
      </c>
      <c r="L113" s="16" t="s">
        <v>365</v>
      </c>
      <c r="M113" s="16" t="s">
        <v>366</v>
      </c>
      <c r="N113" s="16" t="s">
        <v>482</v>
      </c>
      <c r="O113" s="17">
        <v>30399</v>
      </c>
      <c r="P113" s="16">
        <v>8720989381</v>
      </c>
      <c r="Q113" s="16" t="s">
        <v>357</v>
      </c>
      <c r="R113" s="17">
        <v>45096</v>
      </c>
      <c r="S113" s="16" t="s">
        <v>367</v>
      </c>
      <c r="T113" s="16" t="s">
        <v>368</v>
      </c>
      <c r="U113" s="16" t="s">
        <v>383</v>
      </c>
      <c r="V113" s="16" t="s">
        <v>371</v>
      </c>
      <c r="W113" s="16" t="s">
        <v>309</v>
      </c>
      <c r="X113" s="16">
        <v>6176383634</v>
      </c>
      <c r="Y113" s="16">
        <v>21</v>
      </c>
      <c r="Z113" s="16" t="s">
        <v>298</v>
      </c>
      <c r="AA113" s="16" t="s">
        <v>369</v>
      </c>
      <c r="AB113" s="17">
        <v>45105</v>
      </c>
      <c r="AC113" s="16">
        <v>3731.55</v>
      </c>
      <c r="AD113" s="16" t="s">
        <v>317</v>
      </c>
      <c r="AE113" s="16" t="s">
        <v>363</v>
      </c>
    </row>
    <row r="114" spans="1:31" x14ac:dyDescent="0.3">
      <c r="A114" s="13" t="s">
        <v>176</v>
      </c>
      <c r="B114" s="13" t="s">
        <v>77</v>
      </c>
      <c r="C114" s="13" t="s">
        <v>18</v>
      </c>
      <c r="D114" s="14">
        <v>45254</v>
      </c>
      <c r="E114" s="15">
        <v>0.64583333333333337</v>
      </c>
      <c r="F114" s="13" t="s">
        <v>11</v>
      </c>
      <c r="G114" s="13" t="s">
        <v>12</v>
      </c>
      <c r="H114" s="13" t="s">
        <v>342</v>
      </c>
      <c r="I114" s="13" t="s">
        <v>364</v>
      </c>
      <c r="J114" s="13">
        <v>770.64</v>
      </c>
      <c r="K114" s="14">
        <v>45254</v>
      </c>
      <c r="L114" s="13" t="s">
        <v>390</v>
      </c>
      <c r="M114" s="13" t="s">
        <v>371</v>
      </c>
      <c r="N114" s="13" t="s">
        <v>482</v>
      </c>
      <c r="O114" s="14">
        <v>35790</v>
      </c>
      <c r="P114" s="13">
        <v>8545613046</v>
      </c>
      <c r="Q114" s="13" t="s">
        <v>357</v>
      </c>
      <c r="R114" s="14">
        <v>44838</v>
      </c>
      <c r="S114" s="13" t="s">
        <v>358</v>
      </c>
      <c r="T114" s="13" t="s">
        <v>428</v>
      </c>
      <c r="U114" s="13" t="s">
        <v>381</v>
      </c>
      <c r="V114" s="13" t="s">
        <v>345</v>
      </c>
      <c r="W114" s="13" t="s">
        <v>310</v>
      </c>
      <c r="X114" s="13">
        <v>8737740598</v>
      </c>
      <c r="Y114" s="13">
        <v>19</v>
      </c>
      <c r="Z114" s="13" t="s">
        <v>298</v>
      </c>
      <c r="AA114" s="13" t="s">
        <v>429</v>
      </c>
      <c r="AB114" s="14">
        <v>45034</v>
      </c>
      <c r="AC114" s="13">
        <v>1654.53</v>
      </c>
      <c r="AD114" s="13" t="s">
        <v>317</v>
      </c>
      <c r="AE114" s="13" t="s">
        <v>376</v>
      </c>
    </row>
    <row r="115" spans="1:31" x14ac:dyDescent="0.3">
      <c r="A115" s="16" t="s">
        <v>177</v>
      </c>
      <c r="B115" s="16" t="s">
        <v>178</v>
      </c>
      <c r="C115" s="16" t="s">
        <v>52</v>
      </c>
      <c r="D115" s="17">
        <v>45146</v>
      </c>
      <c r="E115" s="18">
        <v>0.375</v>
      </c>
      <c r="F115" s="16" t="s">
        <v>3</v>
      </c>
      <c r="G115" s="16" t="s">
        <v>34</v>
      </c>
      <c r="H115" s="16" t="s">
        <v>342</v>
      </c>
      <c r="I115" s="16" t="s">
        <v>343</v>
      </c>
      <c r="J115" s="16">
        <v>3030.34</v>
      </c>
      <c r="K115" s="17">
        <v>45146</v>
      </c>
      <c r="L115" s="16" t="s">
        <v>404</v>
      </c>
      <c r="M115" s="16" t="s">
        <v>371</v>
      </c>
      <c r="N115" s="16" t="s">
        <v>482</v>
      </c>
      <c r="O115" s="17">
        <v>29122</v>
      </c>
      <c r="P115" s="16">
        <v>7145815738</v>
      </c>
      <c r="Q115" s="16" t="s">
        <v>386</v>
      </c>
      <c r="R115" s="17">
        <v>44827</v>
      </c>
      <c r="S115" s="16" t="s">
        <v>367</v>
      </c>
      <c r="T115" s="16" t="s">
        <v>473</v>
      </c>
      <c r="U115" s="16" t="s">
        <v>360</v>
      </c>
      <c r="V115" s="16" t="s">
        <v>391</v>
      </c>
      <c r="W115" s="16" t="s">
        <v>308</v>
      </c>
      <c r="X115" s="16">
        <v>8322010158</v>
      </c>
      <c r="Y115" s="16">
        <v>17</v>
      </c>
      <c r="Z115" s="16" t="s">
        <v>299</v>
      </c>
      <c r="AA115" s="16" t="s">
        <v>474</v>
      </c>
      <c r="AB115" s="17">
        <v>45146</v>
      </c>
      <c r="AC115" s="16">
        <v>3030.34</v>
      </c>
      <c r="AD115" s="16" t="s">
        <v>311</v>
      </c>
      <c r="AE115" s="16" t="s">
        <v>352</v>
      </c>
    </row>
    <row r="116" spans="1:31" x14ac:dyDescent="0.3">
      <c r="A116" s="13" t="s">
        <v>179</v>
      </c>
      <c r="B116" s="13" t="s">
        <v>61</v>
      </c>
      <c r="C116" s="13" t="s">
        <v>67</v>
      </c>
      <c r="D116" s="14">
        <v>45224</v>
      </c>
      <c r="E116" s="15">
        <v>0.4375</v>
      </c>
      <c r="F116" s="13" t="s">
        <v>3</v>
      </c>
      <c r="G116" s="13" t="s">
        <v>8</v>
      </c>
      <c r="H116" s="13" t="s">
        <v>413</v>
      </c>
      <c r="I116" s="13" t="s">
        <v>364</v>
      </c>
      <c r="J116" s="13">
        <v>4809.3100000000004</v>
      </c>
      <c r="K116" s="14">
        <v>45224</v>
      </c>
      <c r="L116" s="13" t="s">
        <v>360</v>
      </c>
      <c r="M116" s="13" t="s">
        <v>355</v>
      </c>
      <c r="N116" s="13" t="s">
        <v>482</v>
      </c>
      <c r="O116" s="14">
        <v>26629</v>
      </c>
      <c r="P116" s="13">
        <v>7712937941</v>
      </c>
      <c r="Q116" s="13" t="s">
        <v>347</v>
      </c>
      <c r="R116" s="14">
        <v>45091</v>
      </c>
      <c r="S116" s="13" t="s">
        <v>358</v>
      </c>
      <c r="T116" s="13" t="s">
        <v>420</v>
      </c>
      <c r="U116" s="13" t="s">
        <v>350</v>
      </c>
      <c r="V116" s="13" t="s">
        <v>391</v>
      </c>
      <c r="W116" s="13" t="s">
        <v>308</v>
      </c>
      <c r="X116" s="13">
        <v>9118538547</v>
      </c>
      <c r="Y116" s="13">
        <v>26</v>
      </c>
      <c r="Z116" s="13" t="s">
        <v>297</v>
      </c>
      <c r="AA116" s="13" t="s">
        <v>421</v>
      </c>
      <c r="AB116" s="14">
        <v>45098</v>
      </c>
      <c r="AC116" s="13">
        <v>3722.68</v>
      </c>
      <c r="AD116" s="13" t="s">
        <v>311</v>
      </c>
      <c r="AE116" s="13" t="s">
        <v>352</v>
      </c>
    </row>
    <row r="117" spans="1:31" x14ac:dyDescent="0.3">
      <c r="A117" s="16" t="s">
        <v>180</v>
      </c>
      <c r="B117" s="16" t="s">
        <v>30</v>
      </c>
      <c r="C117" s="16" t="s">
        <v>2</v>
      </c>
      <c r="D117" s="17">
        <v>45114</v>
      </c>
      <c r="E117" s="18">
        <v>0.38541666666666669</v>
      </c>
      <c r="F117" s="16" t="s">
        <v>31</v>
      </c>
      <c r="G117" s="16" t="s">
        <v>8</v>
      </c>
      <c r="H117" s="16" t="s">
        <v>413</v>
      </c>
      <c r="I117" s="16" t="s">
        <v>354</v>
      </c>
      <c r="J117" s="16">
        <v>1288.8599999999999</v>
      </c>
      <c r="K117" s="17">
        <v>45114</v>
      </c>
      <c r="L117" s="16" t="s">
        <v>381</v>
      </c>
      <c r="M117" s="16" t="s">
        <v>371</v>
      </c>
      <c r="N117" s="16" t="s">
        <v>481</v>
      </c>
      <c r="O117" s="17">
        <v>18609</v>
      </c>
      <c r="P117" s="16">
        <v>9271131338</v>
      </c>
      <c r="Q117" s="16" t="s">
        <v>386</v>
      </c>
      <c r="R117" s="17">
        <v>44264</v>
      </c>
      <c r="S117" s="16" t="s">
        <v>367</v>
      </c>
      <c r="T117" s="16" t="s">
        <v>394</v>
      </c>
      <c r="U117" s="16" t="s">
        <v>350</v>
      </c>
      <c r="V117" s="16" t="s">
        <v>345</v>
      </c>
      <c r="W117" s="16" t="s">
        <v>310</v>
      </c>
      <c r="X117" s="16">
        <v>7387087517</v>
      </c>
      <c r="Y117" s="16">
        <v>26</v>
      </c>
      <c r="Z117" s="16" t="s">
        <v>297</v>
      </c>
      <c r="AA117" s="16" t="s">
        <v>395</v>
      </c>
      <c r="AB117" s="17">
        <v>44990</v>
      </c>
      <c r="AC117" s="16">
        <v>4541.1400000000003</v>
      </c>
      <c r="AD117" s="16" t="s">
        <v>316</v>
      </c>
      <c r="AE117" s="16" t="s">
        <v>363</v>
      </c>
    </row>
    <row r="118" spans="1:31" x14ac:dyDescent="0.3">
      <c r="A118" s="13" t="s">
        <v>181</v>
      </c>
      <c r="B118" s="13" t="s">
        <v>6</v>
      </c>
      <c r="C118" s="13" t="s">
        <v>52</v>
      </c>
      <c r="D118" s="14">
        <v>45097</v>
      </c>
      <c r="E118" s="15">
        <v>0.57291666666666663</v>
      </c>
      <c r="F118" s="13" t="s">
        <v>11</v>
      </c>
      <c r="G118" s="13" t="s">
        <v>8</v>
      </c>
      <c r="H118" s="13" t="s">
        <v>353</v>
      </c>
      <c r="I118" s="13" t="s">
        <v>364</v>
      </c>
      <c r="J118" s="13">
        <v>3605.02</v>
      </c>
      <c r="K118" s="14">
        <v>45097</v>
      </c>
      <c r="L118" s="13" t="s">
        <v>344</v>
      </c>
      <c r="M118" s="13" t="s">
        <v>355</v>
      </c>
      <c r="N118" s="13" t="s">
        <v>482</v>
      </c>
      <c r="O118" s="14">
        <v>29594</v>
      </c>
      <c r="P118" s="13">
        <v>8102183595</v>
      </c>
      <c r="Q118" s="13" t="s">
        <v>357</v>
      </c>
      <c r="R118" s="14">
        <v>44471</v>
      </c>
      <c r="S118" s="13" t="s">
        <v>358</v>
      </c>
      <c r="T118" s="13" t="s">
        <v>359</v>
      </c>
      <c r="U118" s="13" t="s">
        <v>360</v>
      </c>
      <c r="V118" s="13" t="s">
        <v>391</v>
      </c>
      <c r="W118" s="13" t="s">
        <v>308</v>
      </c>
      <c r="X118" s="13">
        <v>8322010158</v>
      </c>
      <c r="Y118" s="13">
        <v>17</v>
      </c>
      <c r="Z118" s="13" t="s">
        <v>299</v>
      </c>
      <c r="AA118" s="13" t="s">
        <v>362</v>
      </c>
      <c r="AB118" s="14">
        <v>45086</v>
      </c>
      <c r="AC118" s="13">
        <v>4158.4399999999996</v>
      </c>
      <c r="AD118" s="13" t="s">
        <v>317</v>
      </c>
      <c r="AE118" s="13" t="s">
        <v>363</v>
      </c>
    </row>
    <row r="119" spans="1:31" x14ac:dyDescent="0.3">
      <c r="A119" s="16" t="s">
        <v>182</v>
      </c>
      <c r="B119" s="16" t="s">
        <v>102</v>
      </c>
      <c r="C119" s="16" t="s">
        <v>18</v>
      </c>
      <c r="D119" s="17">
        <v>45147</v>
      </c>
      <c r="E119" s="18">
        <v>0.34375</v>
      </c>
      <c r="F119" s="16" t="s">
        <v>11</v>
      </c>
      <c r="G119" s="16" t="s">
        <v>4</v>
      </c>
      <c r="H119" s="16" t="s">
        <v>377</v>
      </c>
      <c r="I119" s="16" t="s">
        <v>364</v>
      </c>
      <c r="J119" s="16">
        <v>1404.2</v>
      </c>
      <c r="K119" s="17">
        <v>45147</v>
      </c>
      <c r="L119" s="16" t="s">
        <v>350</v>
      </c>
      <c r="M119" s="16" t="s">
        <v>399</v>
      </c>
      <c r="N119" s="16" t="s">
        <v>481</v>
      </c>
      <c r="O119" s="17">
        <v>33546</v>
      </c>
      <c r="P119" s="16">
        <v>7196777444</v>
      </c>
      <c r="Q119" s="16" t="s">
        <v>347</v>
      </c>
      <c r="R119" s="17">
        <v>44441</v>
      </c>
      <c r="S119" s="16" t="s">
        <v>348</v>
      </c>
      <c r="T119" s="16" t="s">
        <v>443</v>
      </c>
      <c r="U119" s="16" t="s">
        <v>381</v>
      </c>
      <c r="V119" s="16" t="s">
        <v>345</v>
      </c>
      <c r="W119" s="16" t="s">
        <v>310</v>
      </c>
      <c r="X119" s="16">
        <v>8737740598</v>
      </c>
      <c r="Y119" s="16">
        <v>19</v>
      </c>
      <c r="Z119" s="16" t="s">
        <v>298</v>
      </c>
      <c r="AA119" s="16" t="s">
        <v>444</v>
      </c>
      <c r="AB119" s="17">
        <v>44969</v>
      </c>
      <c r="AC119" s="16">
        <v>1565.92</v>
      </c>
      <c r="AD119" s="16" t="s">
        <v>317</v>
      </c>
      <c r="AE119" s="16" t="s">
        <v>352</v>
      </c>
    </row>
    <row r="120" spans="1:31" x14ac:dyDescent="0.3">
      <c r="A120" s="13" t="s">
        <v>183</v>
      </c>
      <c r="B120" s="13" t="s">
        <v>83</v>
      </c>
      <c r="C120" s="13" t="s">
        <v>7</v>
      </c>
      <c r="D120" s="14">
        <v>45278</v>
      </c>
      <c r="E120" s="15">
        <v>0.5625</v>
      </c>
      <c r="F120" s="13" t="s">
        <v>19</v>
      </c>
      <c r="G120" s="13" t="s">
        <v>12</v>
      </c>
      <c r="H120" s="13" t="s">
        <v>342</v>
      </c>
      <c r="I120" s="13" t="s">
        <v>343</v>
      </c>
      <c r="J120" s="13">
        <v>2911.22</v>
      </c>
      <c r="K120" s="14">
        <v>45278</v>
      </c>
      <c r="L120" s="13" t="s">
        <v>383</v>
      </c>
      <c r="M120" s="13" t="s">
        <v>432</v>
      </c>
      <c r="N120" s="13" t="s">
        <v>482</v>
      </c>
      <c r="O120" s="14">
        <v>34387</v>
      </c>
      <c r="P120" s="13">
        <v>6141951830</v>
      </c>
      <c r="Q120" s="13" t="s">
        <v>386</v>
      </c>
      <c r="R120" s="14">
        <v>44557</v>
      </c>
      <c r="S120" s="13" t="s">
        <v>348</v>
      </c>
      <c r="T120" s="13" t="s">
        <v>433</v>
      </c>
      <c r="U120" s="13" t="s">
        <v>360</v>
      </c>
      <c r="V120" s="13" t="s">
        <v>361</v>
      </c>
      <c r="W120" s="13" t="s">
        <v>310</v>
      </c>
      <c r="X120" s="13">
        <v>6594221991</v>
      </c>
      <c r="Y120" s="13">
        <v>28</v>
      </c>
      <c r="Z120" s="13" t="s">
        <v>297</v>
      </c>
      <c r="AA120" s="13" t="s">
        <v>434</v>
      </c>
      <c r="AB120" s="14">
        <v>45033</v>
      </c>
      <c r="AC120" s="13">
        <v>2976.02</v>
      </c>
      <c r="AD120" s="13" t="s">
        <v>317</v>
      </c>
      <c r="AE120" s="13" t="s">
        <v>376</v>
      </c>
    </row>
    <row r="121" spans="1:31" x14ac:dyDescent="0.3">
      <c r="A121" s="16" t="s">
        <v>184</v>
      </c>
      <c r="B121" s="16" t="s">
        <v>6</v>
      </c>
      <c r="C121" s="16" t="s">
        <v>52</v>
      </c>
      <c r="D121" s="17">
        <v>45268</v>
      </c>
      <c r="E121" s="18">
        <v>0.45833333333333331</v>
      </c>
      <c r="F121" s="16" t="s">
        <v>3</v>
      </c>
      <c r="G121" s="16" t="s">
        <v>8</v>
      </c>
      <c r="H121" s="16" t="s">
        <v>413</v>
      </c>
      <c r="I121" s="16" t="s">
        <v>343</v>
      </c>
      <c r="J121" s="16">
        <v>935.04</v>
      </c>
      <c r="K121" s="17">
        <v>45268</v>
      </c>
      <c r="L121" s="16" t="s">
        <v>344</v>
      </c>
      <c r="M121" s="16" t="s">
        <v>355</v>
      </c>
      <c r="N121" s="16" t="s">
        <v>482</v>
      </c>
      <c r="O121" s="17">
        <v>29594</v>
      </c>
      <c r="P121" s="16">
        <v>8102183595</v>
      </c>
      <c r="Q121" s="16" t="s">
        <v>357</v>
      </c>
      <c r="R121" s="17">
        <v>44471</v>
      </c>
      <c r="S121" s="16" t="s">
        <v>358</v>
      </c>
      <c r="T121" s="16" t="s">
        <v>359</v>
      </c>
      <c r="U121" s="16" t="s">
        <v>360</v>
      </c>
      <c r="V121" s="16" t="s">
        <v>391</v>
      </c>
      <c r="W121" s="16" t="s">
        <v>308</v>
      </c>
      <c r="X121" s="16">
        <v>8322010158</v>
      </c>
      <c r="Y121" s="16">
        <v>17</v>
      </c>
      <c r="Z121" s="16" t="s">
        <v>299</v>
      </c>
      <c r="AA121" s="16" t="s">
        <v>362</v>
      </c>
      <c r="AB121" s="17">
        <v>45086</v>
      </c>
      <c r="AC121" s="16">
        <v>4158.4399999999996</v>
      </c>
      <c r="AD121" s="16" t="s">
        <v>317</v>
      </c>
      <c r="AE121" s="16" t="s">
        <v>363</v>
      </c>
    </row>
    <row r="122" spans="1:31" x14ac:dyDescent="0.3">
      <c r="A122" s="13" t="s">
        <v>185</v>
      </c>
      <c r="B122" s="13" t="s">
        <v>49</v>
      </c>
      <c r="C122" s="13" t="s">
        <v>52</v>
      </c>
      <c r="D122" s="14">
        <v>45023</v>
      </c>
      <c r="E122" s="15">
        <v>0.625</v>
      </c>
      <c r="F122" s="13" t="s">
        <v>22</v>
      </c>
      <c r="G122" s="13" t="s">
        <v>34</v>
      </c>
      <c r="H122" s="13" t="s">
        <v>353</v>
      </c>
      <c r="I122" s="13" t="s">
        <v>354</v>
      </c>
      <c r="J122" s="13">
        <v>2526.67</v>
      </c>
      <c r="K122" s="14">
        <v>45023</v>
      </c>
      <c r="L122" s="13" t="s">
        <v>370</v>
      </c>
      <c r="M122" s="13" t="s">
        <v>378</v>
      </c>
      <c r="N122" s="13" t="s">
        <v>482</v>
      </c>
      <c r="O122" s="14">
        <v>36196</v>
      </c>
      <c r="P122" s="13">
        <v>8886800195</v>
      </c>
      <c r="Q122" s="13" t="s">
        <v>379</v>
      </c>
      <c r="R122" s="14">
        <v>44469</v>
      </c>
      <c r="S122" s="13" t="s">
        <v>372</v>
      </c>
      <c r="T122" s="13" t="s">
        <v>411</v>
      </c>
      <c r="U122" s="13" t="s">
        <v>360</v>
      </c>
      <c r="V122" s="13" t="s">
        <v>391</v>
      </c>
      <c r="W122" s="13" t="s">
        <v>308</v>
      </c>
      <c r="X122" s="13">
        <v>8322010158</v>
      </c>
      <c r="Y122" s="13">
        <v>17</v>
      </c>
      <c r="Z122" s="13" t="s">
        <v>299</v>
      </c>
      <c r="AA122" s="13" t="s">
        <v>412</v>
      </c>
      <c r="AB122" s="14">
        <v>45118</v>
      </c>
      <c r="AC122" s="13">
        <v>1655.49</v>
      </c>
      <c r="AD122" s="13" t="s">
        <v>316</v>
      </c>
      <c r="AE122" s="13" t="s">
        <v>352</v>
      </c>
    </row>
    <row r="123" spans="1:31" x14ac:dyDescent="0.3">
      <c r="A123" s="16" t="s">
        <v>186</v>
      </c>
      <c r="B123" s="16" t="s">
        <v>43</v>
      </c>
      <c r="C123" s="16" t="s">
        <v>47</v>
      </c>
      <c r="D123" s="17">
        <v>45118</v>
      </c>
      <c r="E123" s="18">
        <v>0.60416666666666663</v>
      </c>
      <c r="F123" s="16" t="s">
        <v>3</v>
      </c>
      <c r="G123" s="16" t="s">
        <v>12</v>
      </c>
      <c r="H123" s="16" t="s">
        <v>413</v>
      </c>
      <c r="I123" s="16" t="s">
        <v>364</v>
      </c>
      <c r="J123" s="16">
        <v>3902.73</v>
      </c>
      <c r="K123" s="17">
        <v>45118</v>
      </c>
      <c r="L123" s="16" t="s">
        <v>404</v>
      </c>
      <c r="M123" s="16" t="s">
        <v>374</v>
      </c>
      <c r="N123" s="16" t="s">
        <v>481</v>
      </c>
      <c r="O123" s="17">
        <v>33580</v>
      </c>
      <c r="P123" s="16">
        <v>8135666049</v>
      </c>
      <c r="Q123" s="16" t="s">
        <v>347</v>
      </c>
      <c r="R123" s="17">
        <v>45043</v>
      </c>
      <c r="S123" s="16" t="s">
        <v>358</v>
      </c>
      <c r="T123" s="16" t="s">
        <v>407</v>
      </c>
      <c r="U123" s="16" t="s">
        <v>383</v>
      </c>
      <c r="V123" s="16" t="s">
        <v>399</v>
      </c>
      <c r="W123" s="16" t="s">
        <v>308</v>
      </c>
      <c r="X123" s="16">
        <v>9069162601</v>
      </c>
      <c r="Y123" s="16">
        <v>5</v>
      </c>
      <c r="Z123" s="16" t="s">
        <v>299</v>
      </c>
      <c r="AA123" s="16" t="s">
        <v>408</v>
      </c>
      <c r="AB123" s="17">
        <v>45071</v>
      </c>
      <c r="AC123" s="16">
        <v>2082.3000000000002</v>
      </c>
      <c r="AD123" s="16" t="s">
        <v>316</v>
      </c>
      <c r="AE123" s="16" t="s">
        <v>363</v>
      </c>
    </row>
    <row r="124" spans="1:31" x14ac:dyDescent="0.3">
      <c r="A124" s="13" t="s">
        <v>187</v>
      </c>
      <c r="B124" s="13" t="s">
        <v>61</v>
      </c>
      <c r="C124" s="13" t="s">
        <v>41</v>
      </c>
      <c r="D124" s="14">
        <v>44985</v>
      </c>
      <c r="E124" s="15">
        <v>0.44791666666666669</v>
      </c>
      <c r="F124" s="13" t="s">
        <v>3</v>
      </c>
      <c r="G124" s="13" t="s">
        <v>34</v>
      </c>
      <c r="H124" s="13" t="s">
        <v>342</v>
      </c>
      <c r="I124" s="13" t="s">
        <v>364</v>
      </c>
      <c r="J124" s="13">
        <v>2064.0700000000002</v>
      </c>
      <c r="K124" s="14">
        <v>44985</v>
      </c>
      <c r="L124" s="13" t="s">
        <v>360</v>
      </c>
      <c r="M124" s="13" t="s">
        <v>355</v>
      </c>
      <c r="N124" s="13" t="s">
        <v>482</v>
      </c>
      <c r="O124" s="14">
        <v>26629</v>
      </c>
      <c r="P124" s="13">
        <v>7712937941</v>
      </c>
      <c r="Q124" s="13" t="s">
        <v>347</v>
      </c>
      <c r="R124" s="14">
        <v>45091</v>
      </c>
      <c r="S124" s="13" t="s">
        <v>358</v>
      </c>
      <c r="T124" s="13" t="s">
        <v>420</v>
      </c>
      <c r="U124" s="13" t="s">
        <v>381</v>
      </c>
      <c r="V124" s="13" t="s">
        <v>374</v>
      </c>
      <c r="W124" s="13" t="s">
        <v>310</v>
      </c>
      <c r="X124" s="13">
        <v>9004382050</v>
      </c>
      <c r="Y124" s="13">
        <v>24</v>
      </c>
      <c r="Z124" s="13" t="s">
        <v>298</v>
      </c>
      <c r="AA124" s="13" t="s">
        <v>421</v>
      </c>
      <c r="AB124" s="14">
        <v>45098</v>
      </c>
      <c r="AC124" s="13">
        <v>3722.68</v>
      </c>
      <c r="AD124" s="13" t="s">
        <v>311</v>
      </c>
      <c r="AE124" s="13" t="s">
        <v>352</v>
      </c>
    </row>
    <row r="125" spans="1:31" x14ac:dyDescent="0.3">
      <c r="A125" s="16" t="s">
        <v>188</v>
      </c>
      <c r="B125" s="16" t="s">
        <v>135</v>
      </c>
      <c r="C125" s="16" t="s">
        <v>47</v>
      </c>
      <c r="D125" s="17">
        <v>45001</v>
      </c>
      <c r="E125" s="18">
        <v>0.71875</v>
      </c>
      <c r="F125" s="16" t="s">
        <v>19</v>
      </c>
      <c r="G125" s="16" t="s">
        <v>12</v>
      </c>
      <c r="H125" s="16" t="s">
        <v>342</v>
      </c>
      <c r="I125" s="16" t="s">
        <v>364</v>
      </c>
      <c r="J125" s="16">
        <v>3492.1</v>
      </c>
      <c r="K125" s="17">
        <v>45001</v>
      </c>
      <c r="L125" s="16" t="s">
        <v>404</v>
      </c>
      <c r="M125" s="16" t="s">
        <v>432</v>
      </c>
      <c r="N125" s="16" t="s">
        <v>481</v>
      </c>
      <c r="O125" s="17">
        <v>32960</v>
      </c>
      <c r="P125" s="16">
        <v>9059178882</v>
      </c>
      <c r="Q125" s="16" t="s">
        <v>347</v>
      </c>
      <c r="R125" s="17">
        <v>44553</v>
      </c>
      <c r="S125" s="16" t="s">
        <v>348</v>
      </c>
      <c r="T125" s="16" t="s">
        <v>459</v>
      </c>
      <c r="U125" s="16" t="s">
        <v>383</v>
      </c>
      <c r="V125" s="16" t="s">
        <v>399</v>
      </c>
      <c r="W125" s="16" t="s">
        <v>308</v>
      </c>
      <c r="X125" s="16">
        <v>9069162601</v>
      </c>
      <c r="Y125" s="16">
        <v>5</v>
      </c>
      <c r="Z125" s="16" t="s">
        <v>299</v>
      </c>
      <c r="AA125" s="16" t="s">
        <v>460</v>
      </c>
      <c r="AB125" s="17">
        <v>45186</v>
      </c>
      <c r="AC125" s="16">
        <v>3628.15</v>
      </c>
      <c r="AD125" s="16" t="s">
        <v>316</v>
      </c>
      <c r="AE125" s="16" t="s">
        <v>363</v>
      </c>
    </row>
    <row r="126" spans="1:31" x14ac:dyDescent="0.3">
      <c r="A126" s="13" t="s">
        <v>189</v>
      </c>
      <c r="B126" s="13" t="s">
        <v>83</v>
      </c>
      <c r="C126" s="13" t="s">
        <v>25</v>
      </c>
      <c r="D126" s="14">
        <v>44975</v>
      </c>
      <c r="E126" s="15">
        <v>0.42708333333333331</v>
      </c>
      <c r="F126" s="13" t="s">
        <v>22</v>
      </c>
      <c r="G126" s="13" t="s">
        <v>34</v>
      </c>
      <c r="H126" s="13" t="s">
        <v>389</v>
      </c>
      <c r="I126" s="13" t="s">
        <v>354</v>
      </c>
      <c r="J126" s="13">
        <v>4079.52</v>
      </c>
      <c r="K126" s="14">
        <v>44975</v>
      </c>
      <c r="L126" s="13" t="s">
        <v>383</v>
      </c>
      <c r="M126" s="13" t="s">
        <v>432</v>
      </c>
      <c r="N126" s="13" t="s">
        <v>482</v>
      </c>
      <c r="O126" s="14">
        <v>34387</v>
      </c>
      <c r="P126" s="13">
        <v>6141951830</v>
      </c>
      <c r="Q126" s="13" t="s">
        <v>386</v>
      </c>
      <c r="R126" s="14">
        <v>44557</v>
      </c>
      <c r="S126" s="13" t="s">
        <v>348</v>
      </c>
      <c r="T126" s="13" t="s">
        <v>433</v>
      </c>
      <c r="U126" s="13" t="s">
        <v>370</v>
      </c>
      <c r="V126" s="13" t="s">
        <v>374</v>
      </c>
      <c r="W126" s="13" t="s">
        <v>309</v>
      </c>
      <c r="X126" s="13">
        <v>8217493115</v>
      </c>
      <c r="Y126" s="13">
        <v>26</v>
      </c>
      <c r="Z126" s="13" t="s">
        <v>299</v>
      </c>
      <c r="AA126" s="13" t="s">
        <v>434</v>
      </c>
      <c r="AB126" s="14">
        <v>45033</v>
      </c>
      <c r="AC126" s="13">
        <v>2976.02</v>
      </c>
      <c r="AD126" s="13" t="s">
        <v>317</v>
      </c>
      <c r="AE126" s="13" t="s">
        <v>376</v>
      </c>
    </row>
    <row r="127" spans="1:31" x14ac:dyDescent="0.3">
      <c r="A127" s="16" t="s">
        <v>190</v>
      </c>
      <c r="B127" s="16" t="s">
        <v>14</v>
      </c>
      <c r="C127" s="16" t="s">
        <v>28</v>
      </c>
      <c r="D127" s="17">
        <v>45232</v>
      </c>
      <c r="E127" s="18">
        <v>0.40625</v>
      </c>
      <c r="F127" s="16" t="s">
        <v>19</v>
      </c>
      <c r="G127" s="16" t="s">
        <v>4</v>
      </c>
      <c r="H127" s="16" t="s">
        <v>377</v>
      </c>
      <c r="I127" s="16" t="s">
        <v>354</v>
      </c>
      <c r="J127" s="16">
        <v>4672.3</v>
      </c>
      <c r="K127" s="17">
        <v>45232</v>
      </c>
      <c r="L127" s="16" t="s">
        <v>370</v>
      </c>
      <c r="M127" s="16" t="s">
        <v>371</v>
      </c>
      <c r="N127" s="16" t="s">
        <v>482</v>
      </c>
      <c r="O127" s="17">
        <v>24333</v>
      </c>
      <c r="P127" s="16">
        <v>7482069727</v>
      </c>
      <c r="Q127" s="16" t="s">
        <v>357</v>
      </c>
      <c r="R127" s="17">
        <v>44448</v>
      </c>
      <c r="S127" s="16" t="s">
        <v>372</v>
      </c>
      <c r="T127" s="16" t="s">
        <v>373</v>
      </c>
      <c r="U127" s="16" t="s">
        <v>383</v>
      </c>
      <c r="V127" s="16" t="s">
        <v>371</v>
      </c>
      <c r="W127" s="16" t="s">
        <v>309</v>
      </c>
      <c r="X127" s="16">
        <v>6176383634</v>
      </c>
      <c r="Y127" s="16">
        <v>21</v>
      </c>
      <c r="Z127" s="16" t="s">
        <v>298</v>
      </c>
      <c r="AA127" s="16" t="s">
        <v>375</v>
      </c>
      <c r="AB127" s="17">
        <v>45170</v>
      </c>
      <c r="AC127" s="16">
        <v>4799.8599999999997</v>
      </c>
      <c r="AD127" s="16" t="s">
        <v>317</v>
      </c>
      <c r="AE127" s="16" t="s">
        <v>376</v>
      </c>
    </row>
    <row r="128" spans="1:31" x14ac:dyDescent="0.3">
      <c r="A128" s="13" t="s">
        <v>191</v>
      </c>
      <c r="B128" s="13" t="s">
        <v>118</v>
      </c>
      <c r="C128" s="13" t="s">
        <v>28</v>
      </c>
      <c r="D128" s="14">
        <v>45243</v>
      </c>
      <c r="E128" s="15">
        <v>0.35416666666666669</v>
      </c>
      <c r="F128" s="13" t="s">
        <v>22</v>
      </c>
      <c r="G128" s="13" t="s">
        <v>8</v>
      </c>
      <c r="H128" s="13" t="s">
        <v>389</v>
      </c>
      <c r="I128" s="13" t="s">
        <v>354</v>
      </c>
      <c r="J128" s="13">
        <v>1555.89</v>
      </c>
      <c r="K128" s="14">
        <v>45243</v>
      </c>
      <c r="L128" s="13" t="s">
        <v>360</v>
      </c>
      <c r="M128" s="13" t="s">
        <v>371</v>
      </c>
      <c r="N128" s="13" t="s">
        <v>481</v>
      </c>
      <c r="O128" s="14">
        <v>34072</v>
      </c>
      <c r="P128" s="13">
        <v>7039619487</v>
      </c>
      <c r="Q128" s="13" t="s">
        <v>357</v>
      </c>
      <c r="R128" s="14">
        <v>45116</v>
      </c>
      <c r="S128" s="13" t="s">
        <v>358</v>
      </c>
      <c r="T128" s="13" t="s">
        <v>453</v>
      </c>
      <c r="U128" s="13" t="s">
        <v>383</v>
      </c>
      <c r="V128" s="13" t="s">
        <v>371</v>
      </c>
      <c r="W128" s="13" t="s">
        <v>309</v>
      </c>
      <c r="X128" s="13">
        <v>6176383634</v>
      </c>
      <c r="Y128" s="13">
        <v>21</v>
      </c>
      <c r="Z128" s="13" t="s">
        <v>298</v>
      </c>
      <c r="AA128" s="13" t="s">
        <v>454</v>
      </c>
      <c r="AB128" s="14">
        <v>45077</v>
      </c>
      <c r="AC128" s="13">
        <v>3815.93</v>
      </c>
      <c r="AD128" s="13" t="s">
        <v>311</v>
      </c>
      <c r="AE128" s="13" t="s">
        <v>363</v>
      </c>
    </row>
    <row r="129" spans="1:31" x14ac:dyDescent="0.3">
      <c r="A129" s="16" t="s">
        <v>192</v>
      </c>
      <c r="B129" s="16" t="s">
        <v>154</v>
      </c>
      <c r="C129" s="16" t="s">
        <v>41</v>
      </c>
      <c r="D129" s="17">
        <v>45031</v>
      </c>
      <c r="E129" s="18">
        <v>0.61458333333333337</v>
      </c>
      <c r="F129" s="16" t="s">
        <v>31</v>
      </c>
      <c r="G129" s="16" t="s">
        <v>34</v>
      </c>
      <c r="H129" s="16" t="s">
        <v>353</v>
      </c>
      <c r="I129" s="16" t="s">
        <v>354</v>
      </c>
      <c r="J129" s="16">
        <v>2296.92</v>
      </c>
      <c r="K129" s="17">
        <v>45031</v>
      </c>
      <c r="L129" s="16" t="s">
        <v>370</v>
      </c>
      <c r="M129" s="16" t="s">
        <v>378</v>
      </c>
      <c r="N129" s="16" t="s">
        <v>482</v>
      </c>
      <c r="O129" s="17">
        <v>18798</v>
      </c>
      <c r="P129" s="16">
        <v>7020645498</v>
      </c>
      <c r="Q129" s="16" t="s">
        <v>379</v>
      </c>
      <c r="R129" s="17">
        <v>44758</v>
      </c>
      <c r="S129" s="16" t="s">
        <v>348</v>
      </c>
      <c r="T129" s="16" t="s">
        <v>465</v>
      </c>
      <c r="U129" s="16" t="s">
        <v>381</v>
      </c>
      <c r="V129" s="16" t="s">
        <v>374</v>
      </c>
      <c r="W129" s="16" t="s">
        <v>310</v>
      </c>
      <c r="X129" s="16">
        <v>9004382050</v>
      </c>
      <c r="Y129" s="16">
        <v>24</v>
      </c>
      <c r="Z129" s="16" t="s">
        <v>298</v>
      </c>
      <c r="AA129" s="16" t="s">
        <v>466</v>
      </c>
      <c r="AB129" s="17">
        <v>45024</v>
      </c>
      <c r="AC129" s="16">
        <v>1519.95</v>
      </c>
      <c r="AD129" s="16" t="s">
        <v>311</v>
      </c>
      <c r="AE129" s="16" t="s">
        <v>376</v>
      </c>
    </row>
    <row r="130" spans="1:31" x14ac:dyDescent="0.3">
      <c r="A130" s="13" t="s">
        <v>193</v>
      </c>
      <c r="B130" s="13" t="s">
        <v>63</v>
      </c>
      <c r="C130" s="13" t="s">
        <v>15</v>
      </c>
      <c r="D130" s="14">
        <v>45163</v>
      </c>
      <c r="E130" s="15">
        <v>0.39583333333333331</v>
      </c>
      <c r="F130" s="13" t="s">
        <v>22</v>
      </c>
      <c r="G130" s="13" t="s">
        <v>12</v>
      </c>
      <c r="H130" s="13" t="s">
        <v>413</v>
      </c>
      <c r="I130" s="13" t="s">
        <v>354</v>
      </c>
      <c r="J130" s="13">
        <v>1185.8699999999999</v>
      </c>
      <c r="K130" s="14">
        <v>45163</v>
      </c>
      <c r="L130" s="13" t="s">
        <v>365</v>
      </c>
      <c r="M130" s="13" t="s">
        <v>355</v>
      </c>
      <c r="N130" s="13" t="s">
        <v>482</v>
      </c>
      <c r="O130" s="14">
        <v>23734</v>
      </c>
      <c r="P130" s="13">
        <v>6622318721</v>
      </c>
      <c r="Q130" s="13" t="s">
        <v>379</v>
      </c>
      <c r="R130" s="14">
        <v>44415</v>
      </c>
      <c r="S130" s="13" t="s">
        <v>367</v>
      </c>
      <c r="T130" s="13" t="s">
        <v>422</v>
      </c>
      <c r="U130" s="13" t="s">
        <v>344</v>
      </c>
      <c r="V130" s="13" t="s">
        <v>374</v>
      </c>
      <c r="W130" s="13" t="s">
        <v>310</v>
      </c>
      <c r="X130" s="13">
        <v>6570137231</v>
      </c>
      <c r="Y130" s="13">
        <v>23</v>
      </c>
      <c r="Z130" s="13" t="s">
        <v>297</v>
      </c>
      <c r="AA130" s="13" t="s">
        <v>423</v>
      </c>
      <c r="AB130" s="14">
        <v>44982</v>
      </c>
      <c r="AC130" s="13">
        <v>1726.81</v>
      </c>
      <c r="AD130" s="13" t="s">
        <v>311</v>
      </c>
      <c r="AE130" s="13" t="s">
        <v>376</v>
      </c>
    </row>
    <row r="131" spans="1:31" x14ac:dyDescent="0.3">
      <c r="A131" s="16" t="s">
        <v>194</v>
      </c>
      <c r="B131" s="16" t="s">
        <v>144</v>
      </c>
      <c r="C131" s="16" t="s">
        <v>15</v>
      </c>
      <c r="D131" s="17">
        <v>44980</v>
      </c>
      <c r="E131" s="18">
        <v>0.625</v>
      </c>
      <c r="F131" s="16" t="s">
        <v>19</v>
      </c>
      <c r="G131" s="16" t="s">
        <v>8</v>
      </c>
      <c r="H131" s="16" t="s">
        <v>353</v>
      </c>
      <c r="I131" s="16" t="s">
        <v>343</v>
      </c>
      <c r="J131" s="16">
        <v>4966.18</v>
      </c>
      <c r="K131" s="17">
        <v>44980</v>
      </c>
      <c r="L131" s="16" t="s">
        <v>381</v>
      </c>
      <c r="M131" s="16" t="s">
        <v>361</v>
      </c>
      <c r="N131" s="16" t="s">
        <v>482</v>
      </c>
      <c r="O131" s="17">
        <v>33359</v>
      </c>
      <c r="P131" s="16">
        <v>6158428240</v>
      </c>
      <c r="Q131" s="16" t="s">
        <v>379</v>
      </c>
      <c r="R131" s="17">
        <v>44830</v>
      </c>
      <c r="S131" s="16" t="s">
        <v>348</v>
      </c>
      <c r="T131" s="16" t="s">
        <v>461</v>
      </c>
      <c r="U131" s="16" t="s">
        <v>344</v>
      </c>
      <c r="V131" s="16" t="s">
        <v>374</v>
      </c>
      <c r="W131" s="16" t="s">
        <v>310</v>
      </c>
      <c r="X131" s="16">
        <v>6570137231</v>
      </c>
      <c r="Y131" s="16">
        <v>23</v>
      </c>
      <c r="Z131" s="16" t="s">
        <v>297</v>
      </c>
      <c r="AA131" s="16" t="s">
        <v>462</v>
      </c>
      <c r="AB131" s="17">
        <v>45228</v>
      </c>
      <c r="AC131" s="16">
        <v>3759.52</v>
      </c>
      <c r="AD131" s="16" t="s">
        <v>311</v>
      </c>
      <c r="AE131" s="16" t="s">
        <v>352</v>
      </c>
    </row>
    <row r="132" spans="1:31" x14ac:dyDescent="0.3">
      <c r="A132" s="13" t="s">
        <v>195</v>
      </c>
      <c r="B132" s="13" t="s">
        <v>61</v>
      </c>
      <c r="C132" s="13" t="s">
        <v>18</v>
      </c>
      <c r="D132" s="14">
        <v>45057</v>
      </c>
      <c r="E132" s="15">
        <v>0.6875</v>
      </c>
      <c r="F132" s="13" t="s">
        <v>3</v>
      </c>
      <c r="G132" s="13" t="s">
        <v>8</v>
      </c>
      <c r="H132" s="13" t="s">
        <v>342</v>
      </c>
      <c r="I132" s="13" t="s">
        <v>364</v>
      </c>
      <c r="J132" s="13">
        <v>4671.5</v>
      </c>
      <c r="K132" s="14">
        <v>45057</v>
      </c>
      <c r="L132" s="13" t="s">
        <v>360</v>
      </c>
      <c r="M132" s="13" t="s">
        <v>355</v>
      </c>
      <c r="N132" s="13" t="s">
        <v>482</v>
      </c>
      <c r="O132" s="14">
        <v>26629</v>
      </c>
      <c r="P132" s="13">
        <v>7712937941</v>
      </c>
      <c r="Q132" s="13" t="s">
        <v>347</v>
      </c>
      <c r="R132" s="14">
        <v>45091</v>
      </c>
      <c r="S132" s="13" t="s">
        <v>358</v>
      </c>
      <c r="T132" s="13" t="s">
        <v>420</v>
      </c>
      <c r="U132" s="13" t="s">
        <v>381</v>
      </c>
      <c r="V132" s="13" t="s">
        <v>345</v>
      </c>
      <c r="W132" s="13" t="s">
        <v>310</v>
      </c>
      <c r="X132" s="13">
        <v>8737740598</v>
      </c>
      <c r="Y132" s="13">
        <v>19</v>
      </c>
      <c r="Z132" s="13" t="s">
        <v>298</v>
      </c>
      <c r="AA132" s="13" t="s">
        <v>421</v>
      </c>
      <c r="AB132" s="14">
        <v>45098</v>
      </c>
      <c r="AC132" s="13">
        <v>3722.68</v>
      </c>
      <c r="AD132" s="13" t="s">
        <v>311</v>
      </c>
      <c r="AE132" s="13" t="s">
        <v>352</v>
      </c>
    </row>
    <row r="133" spans="1:31" x14ac:dyDescent="0.3">
      <c r="A133" s="16" t="s">
        <v>196</v>
      </c>
      <c r="B133" s="16" t="s">
        <v>112</v>
      </c>
      <c r="C133" s="16" t="s">
        <v>41</v>
      </c>
      <c r="D133" s="17">
        <v>45133</v>
      </c>
      <c r="E133" s="18">
        <v>0.44791666666666669</v>
      </c>
      <c r="F133" s="16" t="s">
        <v>22</v>
      </c>
      <c r="G133" s="16" t="s">
        <v>12</v>
      </c>
      <c r="H133" s="16" t="s">
        <v>389</v>
      </c>
      <c r="I133" s="16" t="s">
        <v>364</v>
      </c>
      <c r="J133" s="16">
        <v>2929.81</v>
      </c>
      <c r="K133" s="17">
        <v>45133</v>
      </c>
      <c r="L133" s="16" t="s">
        <v>381</v>
      </c>
      <c r="M133" s="16" t="s">
        <v>355</v>
      </c>
      <c r="N133" s="16" t="s">
        <v>481</v>
      </c>
      <c r="O133" s="17">
        <v>37778</v>
      </c>
      <c r="P133" s="16">
        <v>8158989953</v>
      </c>
      <c r="Q133" s="16" t="s">
        <v>386</v>
      </c>
      <c r="R133" s="17">
        <v>44654</v>
      </c>
      <c r="S133" s="16" t="s">
        <v>358</v>
      </c>
      <c r="T133" s="16" t="s">
        <v>449</v>
      </c>
      <c r="U133" s="16" t="s">
        <v>381</v>
      </c>
      <c r="V133" s="16" t="s">
        <v>374</v>
      </c>
      <c r="W133" s="16" t="s">
        <v>310</v>
      </c>
      <c r="X133" s="16">
        <v>9004382050</v>
      </c>
      <c r="Y133" s="16">
        <v>24</v>
      </c>
      <c r="Z133" s="16" t="s">
        <v>298</v>
      </c>
      <c r="AA133" s="16" t="s">
        <v>450</v>
      </c>
      <c r="AB133" s="17">
        <v>45252</v>
      </c>
      <c r="AC133" s="16">
        <v>3307.37</v>
      </c>
      <c r="AD133" s="16" t="s">
        <v>317</v>
      </c>
      <c r="AE133" s="16" t="s">
        <v>352</v>
      </c>
    </row>
    <row r="134" spans="1:31" x14ac:dyDescent="0.3">
      <c r="A134" s="13" t="s">
        <v>197</v>
      </c>
      <c r="B134" s="13" t="s">
        <v>10</v>
      </c>
      <c r="C134" s="13" t="s">
        <v>52</v>
      </c>
      <c r="D134" s="14">
        <v>45008</v>
      </c>
      <c r="E134" s="15">
        <v>0.60416666666666663</v>
      </c>
      <c r="F134" s="13" t="s">
        <v>22</v>
      </c>
      <c r="G134" s="13" t="s">
        <v>34</v>
      </c>
      <c r="H134" s="13" t="s">
        <v>389</v>
      </c>
      <c r="I134" s="13" t="s">
        <v>364</v>
      </c>
      <c r="J134" s="13">
        <v>4289.1499999999996</v>
      </c>
      <c r="K134" s="14">
        <v>45008</v>
      </c>
      <c r="L134" s="13" t="s">
        <v>365</v>
      </c>
      <c r="M134" s="13" t="s">
        <v>366</v>
      </c>
      <c r="N134" s="13" t="s">
        <v>482</v>
      </c>
      <c r="O134" s="14">
        <v>30399</v>
      </c>
      <c r="P134" s="13">
        <v>8720989381</v>
      </c>
      <c r="Q134" s="13" t="s">
        <v>357</v>
      </c>
      <c r="R134" s="14">
        <v>45096</v>
      </c>
      <c r="S134" s="13" t="s">
        <v>367</v>
      </c>
      <c r="T134" s="13" t="s">
        <v>368</v>
      </c>
      <c r="U134" s="13" t="s">
        <v>360</v>
      </c>
      <c r="V134" s="13" t="s">
        <v>391</v>
      </c>
      <c r="W134" s="13" t="s">
        <v>308</v>
      </c>
      <c r="X134" s="13">
        <v>8322010158</v>
      </c>
      <c r="Y134" s="13">
        <v>17</v>
      </c>
      <c r="Z134" s="13" t="s">
        <v>299</v>
      </c>
      <c r="AA134" s="13" t="s">
        <v>369</v>
      </c>
      <c r="AB134" s="14">
        <v>45105</v>
      </c>
      <c r="AC134" s="13">
        <v>3731.55</v>
      </c>
      <c r="AD134" s="13" t="s">
        <v>317</v>
      </c>
      <c r="AE134" s="13" t="s">
        <v>363</v>
      </c>
    </row>
    <row r="135" spans="1:31" x14ac:dyDescent="0.3">
      <c r="A135" s="16" t="s">
        <v>198</v>
      </c>
      <c r="B135" s="16" t="s">
        <v>14</v>
      </c>
      <c r="C135" s="16" t="s">
        <v>15</v>
      </c>
      <c r="D135" s="17">
        <v>45216</v>
      </c>
      <c r="E135" s="18">
        <v>0.63541666666666663</v>
      </c>
      <c r="F135" s="16" t="s">
        <v>11</v>
      </c>
      <c r="G135" s="16" t="s">
        <v>4</v>
      </c>
      <c r="H135" s="16" t="s">
        <v>389</v>
      </c>
      <c r="I135" s="16" t="s">
        <v>364</v>
      </c>
      <c r="J135" s="16">
        <v>2844.31</v>
      </c>
      <c r="K135" s="17">
        <v>45216</v>
      </c>
      <c r="L135" s="16" t="s">
        <v>370</v>
      </c>
      <c r="M135" s="16" t="s">
        <v>371</v>
      </c>
      <c r="N135" s="16" t="s">
        <v>482</v>
      </c>
      <c r="O135" s="17">
        <v>24333</v>
      </c>
      <c r="P135" s="16">
        <v>7482069727</v>
      </c>
      <c r="Q135" s="16" t="s">
        <v>357</v>
      </c>
      <c r="R135" s="17">
        <v>44448</v>
      </c>
      <c r="S135" s="16" t="s">
        <v>372</v>
      </c>
      <c r="T135" s="16" t="s">
        <v>373</v>
      </c>
      <c r="U135" s="16" t="s">
        <v>344</v>
      </c>
      <c r="V135" s="16" t="s">
        <v>374</v>
      </c>
      <c r="W135" s="16" t="s">
        <v>310</v>
      </c>
      <c r="X135" s="16">
        <v>6570137231</v>
      </c>
      <c r="Y135" s="16">
        <v>23</v>
      </c>
      <c r="Z135" s="16" t="s">
        <v>297</v>
      </c>
      <c r="AA135" s="16" t="s">
        <v>375</v>
      </c>
      <c r="AB135" s="17">
        <v>45170</v>
      </c>
      <c r="AC135" s="16">
        <v>4799.8599999999997</v>
      </c>
      <c r="AD135" s="16" t="s">
        <v>317</v>
      </c>
      <c r="AE135" s="16" t="s">
        <v>376</v>
      </c>
    </row>
    <row r="136" spans="1:31" x14ac:dyDescent="0.3">
      <c r="A136" s="13" t="s">
        <v>199</v>
      </c>
      <c r="B136" s="13" t="s">
        <v>36</v>
      </c>
      <c r="C136" s="13" t="s">
        <v>67</v>
      </c>
      <c r="D136" s="14">
        <v>45178</v>
      </c>
      <c r="E136" s="15">
        <v>0.6875</v>
      </c>
      <c r="F136" s="13" t="s">
        <v>3</v>
      </c>
      <c r="G136" s="13" t="s">
        <v>4</v>
      </c>
      <c r="H136" s="13" t="s">
        <v>353</v>
      </c>
      <c r="I136" s="13" t="s">
        <v>364</v>
      </c>
      <c r="J136" s="13">
        <v>3306.14</v>
      </c>
      <c r="K136" s="14">
        <v>45178</v>
      </c>
      <c r="L136" s="13" t="s">
        <v>398</v>
      </c>
      <c r="M136" s="13" t="s">
        <v>399</v>
      </c>
      <c r="N136" s="13" t="s">
        <v>482</v>
      </c>
      <c r="O136" s="14">
        <v>20219</v>
      </c>
      <c r="P136" s="13">
        <v>6221099573</v>
      </c>
      <c r="Q136" s="13" t="s">
        <v>347</v>
      </c>
      <c r="R136" s="14">
        <v>44327</v>
      </c>
      <c r="S136" s="13" t="s">
        <v>358</v>
      </c>
      <c r="T136" s="13" t="s">
        <v>400</v>
      </c>
      <c r="U136" s="13" t="s">
        <v>350</v>
      </c>
      <c r="V136" s="13" t="s">
        <v>391</v>
      </c>
      <c r="W136" s="13" t="s">
        <v>308</v>
      </c>
      <c r="X136" s="13">
        <v>9118538547</v>
      </c>
      <c r="Y136" s="13">
        <v>26</v>
      </c>
      <c r="Z136" s="13" t="s">
        <v>297</v>
      </c>
      <c r="AA136" s="13" t="s">
        <v>401</v>
      </c>
      <c r="AB136" s="14">
        <v>45242</v>
      </c>
      <c r="AC136" s="13">
        <v>4671.66</v>
      </c>
      <c r="AD136" s="13" t="s">
        <v>311</v>
      </c>
      <c r="AE136" s="13" t="s">
        <v>376</v>
      </c>
    </row>
    <row r="137" spans="1:31" x14ac:dyDescent="0.3">
      <c r="A137" s="16" t="s">
        <v>200</v>
      </c>
      <c r="B137" s="16" t="s">
        <v>135</v>
      </c>
      <c r="C137" s="16" t="s">
        <v>2</v>
      </c>
      <c r="D137" s="17">
        <v>45059</v>
      </c>
      <c r="E137" s="18">
        <v>0.52083333333333337</v>
      </c>
      <c r="F137" s="16" t="s">
        <v>31</v>
      </c>
      <c r="G137" s="16" t="s">
        <v>34</v>
      </c>
      <c r="H137" s="16" t="s">
        <v>342</v>
      </c>
      <c r="I137" s="16" t="s">
        <v>364</v>
      </c>
      <c r="J137" s="16">
        <v>901.06</v>
      </c>
      <c r="K137" s="17">
        <v>45059</v>
      </c>
      <c r="L137" s="16" t="s">
        <v>404</v>
      </c>
      <c r="M137" s="16" t="s">
        <v>432</v>
      </c>
      <c r="N137" s="16" t="s">
        <v>481</v>
      </c>
      <c r="O137" s="17">
        <v>32960</v>
      </c>
      <c r="P137" s="16">
        <v>9059178882</v>
      </c>
      <c r="Q137" s="16" t="s">
        <v>347</v>
      </c>
      <c r="R137" s="17">
        <v>44553</v>
      </c>
      <c r="S137" s="16" t="s">
        <v>348</v>
      </c>
      <c r="T137" s="16" t="s">
        <v>459</v>
      </c>
      <c r="U137" s="16" t="s">
        <v>350</v>
      </c>
      <c r="V137" s="16" t="s">
        <v>345</v>
      </c>
      <c r="W137" s="16" t="s">
        <v>310</v>
      </c>
      <c r="X137" s="16">
        <v>7387087517</v>
      </c>
      <c r="Y137" s="16">
        <v>26</v>
      </c>
      <c r="Z137" s="16" t="s">
        <v>297</v>
      </c>
      <c r="AA137" s="16" t="s">
        <v>460</v>
      </c>
      <c r="AB137" s="17">
        <v>45186</v>
      </c>
      <c r="AC137" s="16">
        <v>3628.15</v>
      </c>
      <c r="AD137" s="16" t="s">
        <v>316</v>
      </c>
      <c r="AE137" s="16" t="s">
        <v>363</v>
      </c>
    </row>
    <row r="138" spans="1:31" x14ac:dyDescent="0.3">
      <c r="A138" s="13" t="s">
        <v>201</v>
      </c>
      <c r="B138" s="13" t="s">
        <v>93</v>
      </c>
      <c r="C138" s="13" t="s">
        <v>52</v>
      </c>
      <c r="D138" s="14">
        <v>45224</v>
      </c>
      <c r="E138" s="15">
        <v>0.41666666666666669</v>
      </c>
      <c r="F138" s="13" t="s">
        <v>19</v>
      </c>
      <c r="G138" s="13" t="s">
        <v>8</v>
      </c>
      <c r="H138" s="13" t="s">
        <v>413</v>
      </c>
      <c r="I138" s="13" t="s">
        <v>364</v>
      </c>
      <c r="J138" s="13">
        <v>3898.72</v>
      </c>
      <c r="K138" s="14">
        <v>45224</v>
      </c>
      <c r="L138" s="13" t="s">
        <v>350</v>
      </c>
      <c r="M138" s="13" t="s">
        <v>366</v>
      </c>
      <c r="N138" s="13" t="s">
        <v>482</v>
      </c>
      <c r="O138" s="14">
        <v>27538</v>
      </c>
      <c r="P138" s="13">
        <v>8618058864</v>
      </c>
      <c r="Q138" s="13" t="s">
        <v>386</v>
      </c>
      <c r="R138" s="14">
        <v>45101</v>
      </c>
      <c r="S138" s="13" t="s">
        <v>348</v>
      </c>
      <c r="T138" s="13" t="s">
        <v>439</v>
      </c>
      <c r="U138" s="13" t="s">
        <v>360</v>
      </c>
      <c r="V138" s="13" t="s">
        <v>391</v>
      </c>
      <c r="W138" s="13" t="s">
        <v>308</v>
      </c>
      <c r="X138" s="13">
        <v>8322010158</v>
      </c>
      <c r="Y138" s="13">
        <v>17</v>
      </c>
      <c r="Z138" s="13" t="s">
        <v>299</v>
      </c>
      <c r="AA138" s="13" t="s">
        <v>440</v>
      </c>
      <c r="AB138" s="14">
        <v>45280</v>
      </c>
      <c r="AC138" s="13">
        <v>1526.36</v>
      </c>
      <c r="AD138" s="13" t="s">
        <v>311</v>
      </c>
      <c r="AE138" s="13" t="s">
        <v>363</v>
      </c>
    </row>
    <row r="139" spans="1:31" x14ac:dyDescent="0.3">
      <c r="A139" s="16" t="s">
        <v>202</v>
      </c>
      <c r="B139" s="16" t="s">
        <v>61</v>
      </c>
      <c r="C139" s="16" t="s">
        <v>25</v>
      </c>
      <c r="D139" s="17">
        <v>45286</v>
      </c>
      <c r="E139" s="18">
        <v>0.63541666666666663</v>
      </c>
      <c r="F139" s="16" t="s">
        <v>31</v>
      </c>
      <c r="G139" s="16" t="s">
        <v>8</v>
      </c>
      <c r="H139" s="16" t="s">
        <v>413</v>
      </c>
      <c r="I139" s="16" t="s">
        <v>364</v>
      </c>
      <c r="J139" s="16">
        <v>1074.71</v>
      </c>
      <c r="K139" s="17">
        <v>45286</v>
      </c>
      <c r="L139" s="16" t="s">
        <v>360</v>
      </c>
      <c r="M139" s="16" t="s">
        <v>355</v>
      </c>
      <c r="N139" s="16" t="s">
        <v>482</v>
      </c>
      <c r="O139" s="17">
        <v>26629</v>
      </c>
      <c r="P139" s="16">
        <v>7712937941</v>
      </c>
      <c r="Q139" s="16" t="s">
        <v>347</v>
      </c>
      <c r="R139" s="17">
        <v>45091</v>
      </c>
      <c r="S139" s="16" t="s">
        <v>358</v>
      </c>
      <c r="T139" s="16" t="s">
        <v>420</v>
      </c>
      <c r="U139" s="16" t="s">
        <v>370</v>
      </c>
      <c r="V139" s="16" t="s">
        <v>374</v>
      </c>
      <c r="W139" s="16" t="s">
        <v>309</v>
      </c>
      <c r="X139" s="16">
        <v>8217493115</v>
      </c>
      <c r="Y139" s="16">
        <v>26</v>
      </c>
      <c r="Z139" s="16" t="s">
        <v>299</v>
      </c>
      <c r="AA139" s="16" t="s">
        <v>421</v>
      </c>
      <c r="AB139" s="17">
        <v>45098</v>
      </c>
      <c r="AC139" s="16">
        <v>3722.68</v>
      </c>
      <c r="AD139" s="16" t="s">
        <v>311</v>
      </c>
      <c r="AE139" s="16" t="s">
        <v>352</v>
      </c>
    </row>
    <row r="140" spans="1:31" x14ac:dyDescent="0.3">
      <c r="A140" s="13" t="s">
        <v>203</v>
      </c>
      <c r="B140" s="13" t="s">
        <v>77</v>
      </c>
      <c r="C140" s="13" t="s">
        <v>67</v>
      </c>
      <c r="D140" s="14">
        <v>45209</v>
      </c>
      <c r="E140" s="15">
        <v>0.44791666666666669</v>
      </c>
      <c r="F140" s="13" t="s">
        <v>3</v>
      </c>
      <c r="G140" s="13" t="s">
        <v>8</v>
      </c>
      <c r="H140" s="13" t="s">
        <v>353</v>
      </c>
      <c r="I140" s="13" t="s">
        <v>343</v>
      </c>
      <c r="J140" s="13">
        <v>4217.3</v>
      </c>
      <c r="K140" s="14">
        <v>45209</v>
      </c>
      <c r="L140" s="13" t="s">
        <v>390</v>
      </c>
      <c r="M140" s="13" t="s">
        <v>371</v>
      </c>
      <c r="N140" s="13" t="s">
        <v>482</v>
      </c>
      <c r="O140" s="14">
        <v>35790</v>
      </c>
      <c r="P140" s="13">
        <v>8545613046</v>
      </c>
      <c r="Q140" s="13" t="s">
        <v>357</v>
      </c>
      <c r="R140" s="14">
        <v>44838</v>
      </c>
      <c r="S140" s="13" t="s">
        <v>358</v>
      </c>
      <c r="T140" s="13" t="s">
        <v>428</v>
      </c>
      <c r="U140" s="13" t="s">
        <v>350</v>
      </c>
      <c r="V140" s="13" t="s">
        <v>391</v>
      </c>
      <c r="W140" s="13" t="s">
        <v>308</v>
      </c>
      <c r="X140" s="13">
        <v>9118538547</v>
      </c>
      <c r="Y140" s="13">
        <v>26</v>
      </c>
      <c r="Z140" s="13" t="s">
        <v>297</v>
      </c>
      <c r="AA140" s="13" t="s">
        <v>429</v>
      </c>
      <c r="AB140" s="14">
        <v>45034</v>
      </c>
      <c r="AC140" s="13">
        <v>1654.53</v>
      </c>
      <c r="AD140" s="13" t="s">
        <v>317</v>
      </c>
      <c r="AE140" s="13" t="s">
        <v>376</v>
      </c>
    </row>
    <row r="141" spans="1:31" x14ac:dyDescent="0.3">
      <c r="A141" s="16" t="s">
        <v>204</v>
      </c>
      <c r="B141" s="16" t="s">
        <v>43</v>
      </c>
      <c r="C141" s="16" t="s">
        <v>67</v>
      </c>
      <c r="D141" s="17">
        <v>44962</v>
      </c>
      <c r="E141" s="18">
        <v>0.63541666666666663</v>
      </c>
      <c r="F141" s="16" t="s">
        <v>22</v>
      </c>
      <c r="G141" s="16" t="s">
        <v>8</v>
      </c>
      <c r="H141" s="16" t="s">
        <v>389</v>
      </c>
      <c r="I141" s="16" t="s">
        <v>364</v>
      </c>
      <c r="J141" s="16">
        <v>4019.13</v>
      </c>
      <c r="K141" s="17">
        <v>44962</v>
      </c>
      <c r="L141" s="16" t="s">
        <v>404</v>
      </c>
      <c r="M141" s="16" t="s">
        <v>374</v>
      </c>
      <c r="N141" s="16" t="s">
        <v>481</v>
      </c>
      <c r="O141" s="17">
        <v>33580</v>
      </c>
      <c r="P141" s="16">
        <v>8135666049</v>
      </c>
      <c r="Q141" s="16" t="s">
        <v>347</v>
      </c>
      <c r="R141" s="17">
        <v>45043</v>
      </c>
      <c r="S141" s="16" t="s">
        <v>358</v>
      </c>
      <c r="T141" s="16" t="s">
        <v>407</v>
      </c>
      <c r="U141" s="16" t="s">
        <v>350</v>
      </c>
      <c r="V141" s="16" t="s">
        <v>391</v>
      </c>
      <c r="W141" s="16" t="s">
        <v>308</v>
      </c>
      <c r="X141" s="16">
        <v>9118538547</v>
      </c>
      <c r="Y141" s="16">
        <v>26</v>
      </c>
      <c r="Z141" s="16" t="s">
        <v>297</v>
      </c>
      <c r="AA141" s="16" t="s">
        <v>408</v>
      </c>
      <c r="AB141" s="17">
        <v>45071</v>
      </c>
      <c r="AC141" s="16">
        <v>2082.3000000000002</v>
      </c>
      <c r="AD141" s="16" t="s">
        <v>316</v>
      </c>
      <c r="AE141" s="16" t="s">
        <v>363</v>
      </c>
    </row>
    <row r="142" spans="1:31" x14ac:dyDescent="0.3">
      <c r="A142" s="13" t="s">
        <v>205</v>
      </c>
      <c r="B142" s="13" t="s">
        <v>154</v>
      </c>
      <c r="C142" s="13" t="s">
        <v>41</v>
      </c>
      <c r="D142" s="14">
        <v>45092</v>
      </c>
      <c r="E142" s="15">
        <v>0.63541666666666663</v>
      </c>
      <c r="F142" s="13" t="s">
        <v>22</v>
      </c>
      <c r="G142" s="13" t="s">
        <v>34</v>
      </c>
      <c r="H142" s="13" t="s">
        <v>377</v>
      </c>
      <c r="I142" s="13" t="s">
        <v>343</v>
      </c>
      <c r="J142" s="13">
        <v>3689.35</v>
      </c>
      <c r="K142" s="14">
        <v>45092</v>
      </c>
      <c r="L142" s="13" t="s">
        <v>370</v>
      </c>
      <c r="M142" s="13" t="s">
        <v>378</v>
      </c>
      <c r="N142" s="13" t="s">
        <v>482</v>
      </c>
      <c r="O142" s="14">
        <v>18798</v>
      </c>
      <c r="P142" s="13">
        <v>7020645498</v>
      </c>
      <c r="Q142" s="13" t="s">
        <v>379</v>
      </c>
      <c r="R142" s="14">
        <v>44758</v>
      </c>
      <c r="S142" s="13" t="s">
        <v>348</v>
      </c>
      <c r="T142" s="13" t="s">
        <v>465</v>
      </c>
      <c r="U142" s="13" t="s">
        <v>381</v>
      </c>
      <c r="V142" s="13" t="s">
        <v>374</v>
      </c>
      <c r="W142" s="13" t="s">
        <v>310</v>
      </c>
      <c r="X142" s="13">
        <v>9004382050</v>
      </c>
      <c r="Y142" s="13">
        <v>24</v>
      </c>
      <c r="Z142" s="13" t="s">
        <v>298</v>
      </c>
      <c r="AA142" s="13" t="s">
        <v>466</v>
      </c>
      <c r="AB142" s="14">
        <v>45024</v>
      </c>
      <c r="AC142" s="13">
        <v>1519.95</v>
      </c>
      <c r="AD142" s="13" t="s">
        <v>311</v>
      </c>
      <c r="AE142" s="13" t="s">
        <v>376</v>
      </c>
    </row>
    <row r="143" spans="1:31" x14ac:dyDescent="0.3">
      <c r="A143" s="16" t="s">
        <v>206</v>
      </c>
      <c r="B143" s="16" t="s">
        <v>93</v>
      </c>
      <c r="C143" s="16" t="s">
        <v>18</v>
      </c>
      <c r="D143" s="17">
        <v>45231</v>
      </c>
      <c r="E143" s="18">
        <v>0.48958333333333331</v>
      </c>
      <c r="F143" s="16" t="s">
        <v>3</v>
      </c>
      <c r="G143" s="16" t="s">
        <v>8</v>
      </c>
      <c r="H143" s="16" t="s">
        <v>353</v>
      </c>
      <c r="I143" s="16" t="s">
        <v>354</v>
      </c>
      <c r="J143" s="16">
        <v>662.72</v>
      </c>
      <c r="K143" s="17">
        <v>45231</v>
      </c>
      <c r="L143" s="16" t="s">
        <v>350</v>
      </c>
      <c r="M143" s="16" t="s">
        <v>366</v>
      </c>
      <c r="N143" s="16" t="s">
        <v>482</v>
      </c>
      <c r="O143" s="17">
        <v>27538</v>
      </c>
      <c r="P143" s="16">
        <v>8618058864</v>
      </c>
      <c r="Q143" s="16" t="s">
        <v>386</v>
      </c>
      <c r="R143" s="17">
        <v>45101</v>
      </c>
      <c r="S143" s="16" t="s">
        <v>348</v>
      </c>
      <c r="T143" s="16" t="s">
        <v>439</v>
      </c>
      <c r="U143" s="16" t="s">
        <v>381</v>
      </c>
      <c r="V143" s="16" t="s">
        <v>345</v>
      </c>
      <c r="W143" s="16" t="s">
        <v>310</v>
      </c>
      <c r="X143" s="16">
        <v>8737740598</v>
      </c>
      <c r="Y143" s="16">
        <v>19</v>
      </c>
      <c r="Z143" s="16" t="s">
        <v>298</v>
      </c>
      <c r="AA143" s="16" t="s">
        <v>440</v>
      </c>
      <c r="AB143" s="17">
        <v>45280</v>
      </c>
      <c r="AC143" s="16">
        <v>1526.36</v>
      </c>
      <c r="AD143" s="16" t="s">
        <v>311</v>
      </c>
      <c r="AE143" s="16" t="s">
        <v>363</v>
      </c>
    </row>
    <row r="144" spans="1:31" x14ac:dyDescent="0.3">
      <c r="A144" s="13" t="s">
        <v>207</v>
      </c>
      <c r="B144" s="13" t="s">
        <v>43</v>
      </c>
      <c r="C144" s="13" t="s">
        <v>25</v>
      </c>
      <c r="D144" s="14">
        <v>45190</v>
      </c>
      <c r="E144" s="15">
        <v>0.51041666666666663</v>
      </c>
      <c r="F144" s="13" t="s">
        <v>22</v>
      </c>
      <c r="G144" s="13" t="s">
        <v>12</v>
      </c>
      <c r="H144" s="13" t="s">
        <v>353</v>
      </c>
      <c r="I144" s="13" t="s">
        <v>364</v>
      </c>
      <c r="J144" s="13">
        <v>1864.08</v>
      </c>
      <c r="K144" s="14">
        <v>45190</v>
      </c>
      <c r="L144" s="13" t="s">
        <v>404</v>
      </c>
      <c r="M144" s="13" t="s">
        <v>374</v>
      </c>
      <c r="N144" s="13" t="s">
        <v>481</v>
      </c>
      <c r="O144" s="14">
        <v>33580</v>
      </c>
      <c r="P144" s="13">
        <v>8135666049</v>
      </c>
      <c r="Q144" s="13" t="s">
        <v>347</v>
      </c>
      <c r="R144" s="14">
        <v>45043</v>
      </c>
      <c r="S144" s="13" t="s">
        <v>358</v>
      </c>
      <c r="T144" s="13" t="s">
        <v>407</v>
      </c>
      <c r="U144" s="13" t="s">
        <v>370</v>
      </c>
      <c r="V144" s="13" t="s">
        <v>374</v>
      </c>
      <c r="W144" s="13" t="s">
        <v>309</v>
      </c>
      <c r="X144" s="13">
        <v>8217493115</v>
      </c>
      <c r="Y144" s="13">
        <v>26</v>
      </c>
      <c r="Z144" s="13" t="s">
        <v>299</v>
      </c>
      <c r="AA144" s="13" t="s">
        <v>408</v>
      </c>
      <c r="AB144" s="14">
        <v>45071</v>
      </c>
      <c r="AC144" s="13">
        <v>2082.3000000000002</v>
      </c>
      <c r="AD144" s="13" t="s">
        <v>316</v>
      </c>
      <c r="AE144" s="13" t="s">
        <v>363</v>
      </c>
    </row>
    <row r="145" spans="1:31" x14ac:dyDescent="0.3">
      <c r="A145" s="16" t="s">
        <v>208</v>
      </c>
      <c r="B145" s="16" t="s">
        <v>170</v>
      </c>
      <c r="C145" s="16" t="s">
        <v>15</v>
      </c>
      <c r="D145" s="17">
        <v>45154</v>
      </c>
      <c r="E145" s="18">
        <v>0.51041666666666663</v>
      </c>
      <c r="F145" s="16" t="s">
        <v>22</v>
      </c>
      <c r="G145" s="16" t="s">
        <v>8</v>
      </c>
      <c r="H145" s="16" t="s">
        <v>342</v>
      </c>
      <c r="I145" s="16" t="s">
        <v>354</v>
      </c>
      <c r="J145" s="16">
        <v>1684.01</v>
      </c>
      <c r="K145" s="17">
        <v>45154</v>
      </c>
      <c r="L145" s="16" t="s">
        <v>404</v>
      </c>
      <c r="M145" s="16" t="s">
        <v>374</v>
      </c>
      <c r="N145" s="16" t="s">
        <v>482</v>
      </c>
      <c r="O145" s="17">
        <v>26278</v>
      </c>
      <c r="P145" s="16">
        <v>7060324619</v>
      </c>
      <c r="Q145" s="16" t="s">
        <v>347</v>
      </c>
      <c r="R145" s="17">
        <v>44822</v>
      </c>
      <c r="S145" s="16" t="s">
        <v>367</v>
      </c>
      <c r="T145" s="16" t="s">
        <v>471</v>
      </c>
      <c r="U145" s="16" t="s">
        <v>344</v>
      </c>
      <c r="V145" s="16" t="s">
        <v>374</v>
      </c>
      <c r="W145" s="16" t="s">
        <v>310</v>
      </c>
      <c r="X145" s="16">
        <v>6570137231</v>
      </c>
      <c r="Y145" s="16">
        <v>23</v>
      </c>
      <c r="Z145" s="16" t="s">
        <v>297</v>
      </c>
      <c r="AA145" s="16" t="s">
        <v>472</v>
      </c>
      <c r="AB145" s="17">
        <v>45033</v>
      </c>
      <c r="AC145" s="16">
        <v>3512.69</v>
      </c>
      <c r="AD145" s="16" t="s">
        <v>316</v>
      </c>
      <c r="AE145" s="16" t="s">
        <v>352</v>
      </c>
    </row>
    <row r="146" spans="1:31" x14ac:dyDescent="0.3">
      <c r="A146" s="13" t="s">
        <v>209</v>
      </c>
      <c r="B146" s="13" t="s">
        <v>156</v>
      </c>
      <c r="C146" s="13" t="s">
        <v>41</v>
      </c>
      <c r="D146" s="14">
        <v>45241</v>
      </c>
      <c r="E146" s="15">
        <v>0.61458333333333337</v>
      </c>
      <c r="F146" s="13" t="s">
        <v>22</v>
      </c>
      <c r="G146" s="13" t="s">
        <v>4</v>
      </c>
      <c r="H146" s="13" t="s">
        <v>413</v>
      </c>
      <c r="I146" s="13" t="s">
        <v>354</v>
      </c>
      <c r="J146" s="13">
        <v>2120.61</v>
      </c>
      <c r="K146" s="14">
        <v>45241</v>
      </c>
      <c r="L146" s="13" t="s">
        <v>344</v>
      </c>
      <c r="M146" s="13" t="s">
        <v>432</v>
      </c>
      <c r="N146" s="13" t="s">
        <v>481</v>
      </c>
      <c r="O146" s="14">
        <v>32667</v>
      </c>
      <c r="P146" s="13">
        <v>6278710077</v>
      </c>
      <c r="Q146" s="13" t="s">
        <v>386</v>
      </c>
      <c r="R146" s="14">
        <v>44555</v>
      </c>
      <c r="S146" s="13" t="s">
        <v>358</v>
      </c>
      <c r="T146" s="13" t="s">
        <v>467</v>
      </c>
      <c r="U146" s="13" t="s">
        <v>381</v>
      </c>
      <c r="V146" s="13" t="s">
        <v>374</v>
      </c>
      <c r="W146" s="13" t="s">
        <v>310</v>
      </c>
      <c r="X146" s="13">
        <v>9004382050</v>
      </c>
      <c r="Y146" s="13">
        <v>24</v>
      </c>
      <c r="Z146" s="13" t="s">
        <v>298</v>
      </c>
      <c r="AA146" s="13" t="s">
        <v>468</v>
      </c>
      <c r="AB146" s="14">
        <v>45055</v>
      </c>
      <c r="AC146" s="13">
        <v>2097.48</v>
      </c>
      <c r="AD146" s="13" t="s">
        <v>311</v>
      </c>
      <c r="AE146" s="13" t="s">
        <v>376</v>
      </c>
    </row>
    <row r="147" spans="1:31" x14ac:dyDescent="0.3">
      <c r="A147" s="16" t="s">
        <v>210</v>
      </c>
      <c r="B147" s="16" t="s">
        <v>56</v>
      </c>
      <c r="C147" s="16" t="s">
        <v>15</v>
      </c>
      <c r="D147" s="17">
        <v>44931</v>
      </c>
      <c r="E147" s="18">
        <v>0.39583333333333331</v>
      </c>
      <c r="F147" s="16" t="s">
        <v>19</v>
      </c>
      <c r="G147" s="16" t="s">
        <v>8</v>
      </c>
      <c r="H147" s="16" t="s">
        <v>353</v>
      </c>
      <c r="I147" s="16" t="s">
        <v>354</v>
      </c>
      <c r="J147" s="16">
        <v>894.39</v>
      </c>
      <c r="K147" s="17">
        <v>44931</v>
      </c>
      <c r="L147" s="16" t="s">
        <v>344</v>
      </c>
      <c r="M147" s="16" t="s">
        <v>355</v>
      </c>
      <c r="N147" s="16" t="s">
        <v>482</v>
      </c>
      <c r="O147" s="17">
        <v>34072</v>
      </c>
      <c r="P147" s="16">
        <v>7028910482</v>
      </c>
      <c r="Q147" s="16" t="s">
        <v>347</v>
      </c>
      <c r="R147" s="17">
        <v>45066</v>
      </c>
      <c r="S147" s="16" t="s">
        <v>358</v>
      </c>
      <c r="T147" s="16" t="s">
        <v>416</v>
      </c>
      <c r="U147" s="16" t="s">
        <v>344</v>
      </c>
      <c r="V147" s="16" t="s">
        <v>374</v>
      </c>
      <c r="W147" s="16" t="s">
        <v>310</v>
      </c>
      <c r="X147" s="16">
        <v>6570137231</v>
      </c>
      <c r="Y147" s="16">
        <v>23</v>
      </c>
      <c r="Z147" s="16" t="s">
        <v>297</v>
      </c>
      <c r="AA147" s="16" t="s">
        <v>417</v>
      </c>
      <c r="AB147" s="17">
        <v>45040</v>
      </c>
      <c r="AC147" s="16">
        <v>2926.23</v>
      </c>
      <c r="AD147" s="16" t="s">
        <v>317</v>
      </c>
      <c r="AE147" s="16" t="s">
        <v>376</v>
      </c>
    </row>
    <row r="148" spans="1:31" x14ac:dyDescent="0.3">
      <c r="A148" s="13" t="s">
        <v>211</v>
      </c>
      <c r="B148" s="13" t="s">
        <v>54</v>
      </c>
      <c r="C148" s="13" t="s">
        <v>41</v>
      </c>
      <c r="D148" s="14">
        <v>45243</v>
      </c>
      <c r="E148" s="15">
        <v>0.72916666666666663</v>
      </c>
      <c r="F148" s="13" t="s">
        <v>19</v>
      </c>
      <c r="G148" s="13" t="s">
        <v>34</v>
      </c>
      <c r="H148" s="13" t="s">
        <v>353</v>
      </c>
      <c r="I148" s="13" t="s">
        <v>343</v>
      </c>
      <c r="J148" s="13">
        <v>4716.3100000000004</v>
      </c>
      <c r="K148" s="14">
        <v>45243</v>
      </c>
      <c r="L148" s="13" t="s">
        <v>344</v>
      </c>
      <c r="M148" s="13" t="s">
        <v>391</v>
      </c>
      <c r="N148" s="13" t="s">
        <v>482</v>
      </c>
      <c r="O148" s="14">
        <v>24895</v>
      </c>
      <c r="P148" s="13">
        <v>7292262512</v>
      </c>
      <c r="Q148" s="13" t="s">
        <v>386</v>
      </c>
      <c r="R148" s="14">
        <v>45272</v>
      </c>
      <c r="S148" s="13" t="s">
        <v>358</v>
      </c>
      <c r="T148" s="13" t="s">
        <v>414</v>
      </c>
      <c r="U148" s="13" t="s">
        <v>381</v>
      </c>
      <c r="V148" s="13" t="s">
        <v>374</v>
      </c>
      <c r="W148" s="13" t="s">
        <v>310</v>
      </c>
      <c r="X148" s="13">
        <v>9004382050</v>
      </c>
      <c r="Y148" s="13">
        <v>24</v>
      </c>
      <c r="Z148" s="13" t="s">
        <v>298</v>
      </c>
      <c r="AA148" s="13" t="s">
        <v>415</v>
      </c>
      <c r="AB148" s="14">
        <v>45265</v>
      </c>
      <c r="AC148" s="13">
        <v>4113.62</v>
      </c>
      <c r="AD148" s="13" t="s">
        <v>316</v>
      </c>
      <c r="AE148" s="13" t="s">
        <v>376</v>
      </c>
    </row>
    <row r="149" spans="1:31" x14ac:dyDescent="0.3">
      <c r="A149" s="16" t="s">
        <v>212</v>
      </c>
      <c r="B149" s="16" t="s">
        <v>90</v>
      </c>
      <c r="C149" s="16" t="s">
        <v>41</v>
      </c>
      <c r="D149" s="17">
        <v>45266</v>
      </c>
      <c r="E149" s="18">
        <v>0.35416666666666669</v>
      </c>
      <c r="F149" s="16" t="s">
        <v>11</v>
      </c>
      <c r="G149" s="16" t="s">
        <v>4</v>
      </c>
      <c r="H149" s="16" t="s">
        <v>389</v>
      </c>
      <c r="I149" s="16" t="s">
        <v>354</v>
      </c>
      <c r="J149" s="16">
        <v>2992.11</v>
      </c>
      <c r="K149" s="17">
        <v>45266</v>
      </c>
      <c r="L149" s="16" t="s">
        <v>370</v>
      </c>
      <c r="M149" s="16" t="s">
        <v>366</v>
      </c>
      <c r="N149" s="16" t="s">
        <v>482</v>
      </c>
      <c r="O149" s="17">
        <v>31791</v>
      </c>
      <c r="P149" s="16">
        <v>8280346676</v>
      </c>
      <c r="Q149" s="16" t="s">
        <v>347</v>
      </c>
      <c r="R149" s="17">
        <v>44740</v>
      </c>
      <c r="S149" s="16" t="s">
        <v>348</v>
      </c>
      <c r="T149" s="16" t="s">
        <v>437</v>
      </c>
      <c r="U149" s="16" t="s">
        <v>381</v>
      </c>
      <c r="V149" s="16" t="s">
        <v>374</v>
      </c>
      <c r="W149" s="16" t="s">
        <v>310</v>
      </c>
      <c r="X149" s="16">
        <v>9004382050</v>
      </c>
      <c r="Y149" s="16">
        <v>24</v>
      </c>
      <c r="Z149" s="16" t="s">
        <v>298</v>
      </c>
      <c r="AA149" s="16" t="s">
        <v>438</v>
      </c>
      <c r="AB149" s="17">
        <v>45189</v>
      </c>
      <c r="AC149" s="16">
        <v>4186.3500000000004</v>
      </c>
      <c r="AD149" s="16" t="s">
        <v>317</v>
      </c>
      <c r="AE149" s="16" t="s">
        <v>363</v>
      </c>
    </row>
    <row r="150" spans="1:31" x14ac:dyDescent="0.3">
      <c r="A150" s="13" t="s">
        <v>213</v>
      </c>
      <c r="B150" s="13" t="s">
        <v>93</v>
      </c>
      <c r="C150" s="13" t="s">
        <v>41</v>
      </c>
      <c r="D150" s="14">
        <v>45133</v>
      </c>
      <c r="E150" s="15">
        <v>0.52083333333333337</v>
      </c>
      <c r="F150" s="13" t="s">
        <v>31</v>
      </c>
      <c r="G150" s="13" t="s">
        <v>34</v>
      </c>
      <c r="H150" s="13" t="s">
        <v>389</v>
      </c>
      <c r="I150" s="13" t="s">
        <v>354</v>
      </c>
      <c r="J150" s="13">
        <v>1874.86</v>
      </c>
      <c r="K150" s="14">
        <v>45133</v>
      </c>
      <c r="L150" s="13" t="s">
        <v>350</v>
      </c>
      <c r="M150" s="13" t="s">
        <v>366</v>
      </c>
      <c r="N150" s="13" t="s">
        <v>482</v>
      </c>
      <c r="O150" s="14">
        <v>27538</v>
      </c>
      <c r="P150" s="13">
        <v>8618058864</v>
      </c>
      <c r="Q150" s="13" t="s">
        <v>386</v>
      </c>
      <c r="R150" s="14">
        <v>45101</v>
      </c>
      <c r="S150" s="13" t="s">
        <v>348</v>
      </c>
      <c r="T150" s="13" t="s">
        <v>439</v>
      </c>
      <c r="U150" s="13" t="s">
        <v>381</v>
      </c>
      <c r="V150" s="13" t="s">
        <v>374</v>
      </c>
      <c r="W150" s="13" t="s">
        <v>310</v>
      </c>
      <c r="X150" s="13">
        <v>9004382050</v>
      </c>
      <c r="Y150" s="13">
        <v>24</v>
      </c>
      <c r="Z150" s="13" t="s">
        <v>298</v>
      </c>
      <c r="AA150" s="13" t="s">
        <v>440</v>
      </c>
      <c r="AB150" s="14">
        <v>45280</v>
      </c>
      <c r="AC150" s="13">
        <v>1526.36</v>
      </c>
      <c r="AD150" s="13" t="s">
        <v>311</v>
      </c>
      <c r="AE150" s="13" t="s">
        <v>363</v>
      </c>
    </row>
    <row r="151" spans="1:31" x14ac:dyDescent="0.3">
      <c r="A151" s="16" t="s">
        <v>214</v>
      </c>
      <c r="B151" s="16" t="s">
        <v>59</v>
      </c>
      <c r="C151" s="16" t="s">
        <v>18</v>
      </c>
      <c r="D151" s="17">
        <v>45154</v>
      </c>
      <c r="E151" s="18">
        <v>0.44791666666666669</v>
      </c>
      <c r="F151" s="16" t="s">
        <v>3</v>
      </c>
      <c r="G151" s="16" t="s">
        <v>34</v>
      </c>
      <c r="H151" s="16" t="s">
        <v>377</v>
      </c>
      <c r="I151" s="16" t="s">
        <v>354</v>
      </c>
      <c r="J151" s="16">
        <v>2286.42</v>
      </c>
      <c r="K151" s="17">
        <v>45154</v>
      </c>
      <c r="L151" s="16" t="s">
        <v>381</v>
      </c>
      <c r="M151" s="16" t="s">
        <v>355</v>
      </c>
      <c r="N151" s="16" t="s">
        <v>482</v>
      </c>
      <c r="O151" s="17">
        <v>35046</v>
      </c>
      <c r="P151" s="16">
        <v>8715732851</v>
      </c>
      <c r="Q151" s="16" t="s">
        <v>347</v>
      </c>
      <c r="R151" s="17">
        <v>44701</v>
      </c>
      <c r="S151" s="16" t="s">
        <v>348</v>
      </c>
      <c r="T151" s="16" t="s">
        <v>418</v>
      </c>
      <c r="U151" s="16" t="s">
        <v>381</v>
      </c>
      <c r="V151" s="16" t="s">
        <v>345</v>
      </c>
      <c r="W151" s="16" t="s">
        <v>310</v>
      </c>
      <c r="X151" s="16">
        <v>8737740598</v>
      </c>
      <c r="Y151" s="16">
        <v>19</v>
      </c>
      <c r="Z151" s="16" t="s">
        <v>298</v>
      </c>
      <c r="AA151" s="16" t="s">
        <v>419</v>
      </c>
      <c r="AB151" s="17">
        <v>45055</v>
      </c>
      <c r="AC151" s="16">
        <v>3246.5</v>
      </c>
      <c r="AD151" s="16" t="s">
        <v>316</v>
      </c>
      <c r="AE151" s="16" t="s">
        <v>352</v>
      </c>
    </row>
    <row r="152" spans="1:31" x14ac:dyDescent="0.3">
      <c r="A152" s="13" t="s">
        <v>215</v>
      </c>
      <c r="B152" s="13" t="s">
        <v>27</v>
      </c>
      <c r="C152" s="13" t="s">
        <v>41</v>
      </c>
      <c r="D152" s="14">
        <v>44954</v>
      </c>
      <c r="E152" s="15">
        <v>0.38541666666666669</v>
      </c>
      <c r="F152" s="13" t="s">
        <v>3</v>
      </c>
      <c r="G152" s="13" t="s">
        <v>4</v>
      </c>
      <c r="H152" s="13" t="s">
        <v>342</v>
      </c>
      <c r="I152" s="13" t="s">
        <v>364</v>
      </c>
      <c r="J152" s="13">
        <v>2512.41</v>
      </c>
      <c r="K152" s="14">
        <v>44954</v>
      </c>
      <c r="L152" s="13" t="s">
        <v>390</v>
      </c>
      <c r="M152" s="13" t="s">
        <v>391</v>
      </c>
      <c r="N152" s="13" t="s">
        <v>482</v>
      </c>
      <c r="O152" s="14">
        <v>36729</v>
      </c>
      <c r="P152" s="13">
        <v>7223380592</v>
      </c>
      <c r="Q152" s="13" t="s">
        <v>386</v>
      </c>
      <c r="R152" s="14">
        <v>44400</v>
      </c>
      <c r="S152" s="13" t="s">
        <v>367</v>
      </c>
      <c r="T152" s="13" t="s">
        <v>392</v>
      </c>
      <c r="U152" s="13" t="s">
        <v>381</v>
      </c>
      <c r="V152" s="13" t="s">
        <v>374</v>
      </c>
      <c r="W152" s="13" t="s">
        <v>310</v>
      </c>
      <c r="X152" s="13">
        <v>9004382050</v>
      </c>
      <c r="Y152" s="13">
        <v>24</v>
      </c>
      <c r="Z152" s="13" t="s">
        <v>298</v>
      </c>
      <c r="AA152" s="13" t="s">
        <v>393</v>
      </c>
      <c r="AB152" s="14">
        <v>45070</v>
      </c>
      <c r="AC152" s="13">
        <v>3413.64</v>
      </c>
      <c r="AD152" s="13" t="s">
        <v>311</v>
      </c>
      <c r="AE152" s="13" t="s">
        <v>376</v>
      </c>
    </row>
    <row r="153" spans="1:31" x14ac:dyDescent="0.3">
      <c r="A153" s="16" t="s">
        <v>216</v>
      </c>
      <c r="B153" s="16" t="s">
        <v>33</v>
      </c>
      <c r="C153" s="16" t="s">
        <v>7</v>
      </c>
      <c r="D153" s="17">
        <v>45030</v>
      </c>
      <c r="E153" s="18">
        <v>0.35416666666666669</v>
      </c>
      <c r="F153" s="16" t="s">
        <v>3</v>
      </c>
      <c r="G153" s="16" t="s">
        <v>34</v>
      </c>
      <c r="H153" s="16" t="s">
        <v>377</v>
      </c>
      <c r="I153" s="16" t="s">
        <v>364</v>
      </c>
      <c r="J153" s="16">
        <v>3202.67</v>
      </c>
      <c r="K153" s="17">
        <v>45030</v>
      </c>
      <c r="L153" s="16" t="s">
        <v>360</v>
      </c>
      <c r="M153" s="16" t="s">
        <v>371</v>
      </c>
      <c r="N153" s="16" t="s">
        <v>482</v>
      </c>
      <c r="O153" s="17">
        <v>22090</v>
      </c>
      <c r="P153" s="16">
        <v>7734463155</v>
      </c>
      <c r="Q153" s="16" t="s">
        <v>357</v>
      </c>
      <c r="R153" s="17">
        <v>44468</v>
      </c>
      <c r="S153" s="16" t="s">
        <v>358</v>
      </c>
      <c r="T153" s="16" t="s">
        <v>396</v>
      </c>
      <c r="U153" s="16" t="s">
        <v>360</v>
      </c>
      <c r="V153" s="16" t="s">
        <v>361</v>
      </c>
      <c r="W153" s="16" t="s">
        <v>310</v>
      </c>
      <c r="X153" s="16">
        <v>6594221991</v>
      </c>
      <c r="Y153" s="16">
        <v>28</v>
      </c>
      <c r="Z153" s="16" t="s">
        <v>297</v>
      </c>
      <c r="AA153" s="16" t="s">
        <v>397</v>
      </c>
      <c r="AB153" s="17">
        <v>44939</v>
      </c>
      <c r="AC153" s="16">
        <v>1595.67</v>
      </c>
      <c r="AD153" s="16" t="s">
        <v>311</v>
      </c>
      <c r="AE153" s="16" t="s">
        <v>363</v>
      </c>
    </row>
    <row r="154" spans="1:31" x14ac:dyDescent="0.3">
      <c r="A154" s="13" t="s">
        <v>217</v>
      </c>
      <c r="B154" s="13" t="s">
        <v>118</v>
      </c>
      <c r="C154" s="13" t="s">
        <v>2</v>
      </c>
      <c r="D154" s="14">
        <v>45115</v>
      </c>
      <c r="E154" s="15">
        <v>0.53125</v>
      </c>
      <c r="F154" s="13" t="s">
        <v>11</v>
      </c>
      <c r="G154" s="13" t="s">
        <v>34</v>
      </c>
      <c r="H154" s="13" t="s">
        <v>389</v>
      </c>
      <c r="I154" s="13" t="s">
        <v>343</v>
      </c>
      <c r="J154" s="13">
        <v>2820.56</v>
      </c>
      <c r="K154" s="14">
        <v>45115</v>
      </c>
      <c r="L154" s="13" t="s">
        <v>360</v>
      </c>
      <c r="M154" s="13" t="s">
        <v>371</v>
      </c>
      <c r="N154" s="13" t="s">
        <v>481</v>
      </c>
      <c r="O154" s="14">
        <v>34072</v>
      </c>
      <c r="P154" s="13">
        <v>7039619487</v>
      </c>
      <c r="Q154" s="13" t="s">
        <v>357</v>
      </c>
      <c r="R154" s="14">
        <v>45116</v>
      </c>
      <c r="S154" s="13" t="s">
        <v>358</v>
      </c>
      <c r="T154" s="13" t="s">
        <v>453</v>
      </c>
      <c r="U154" s="13" t="s">
        <v>350</v>
      </c>
      <c r="V154" s="13" t="s">
        <v>345</v>
      </c>
      <c r="W154" s="13" t="s">
        <v>310</v>
      </c>
      <c r="X154" s="13">
        <v>7387087517</v>
      </c>
      <c r="Y154" s="13">
        <v>26</v>
      </c>
      <c r="Z154" s="13" t="s">
        <v>297</v>
      </c>
      <c r="AA154" s="13" t="s">
        <v>454</v>
      </c>
      <c r="AB154" s="14">
        <v>45077</v>
      </c>
      <c r="AC154" s="13">
        <v>3815.93</v>
      </c>
      <c r="AD154" s="13" t="s">
        <v>311</v>
      </c>
      <c r="AE154" s="13" t="s">
        <v>363</v>
      </c>
    </row>
    <row r="155" spans="1:31" x14ac:dyDescent="0.3">
      <c r="A155" s="16" t="s">
        <v>218</v>
      </c>
      <c r="B155" s="16" t="s">
        <v>43</v>
      </c>
      <c r="C155" s="16" t="s">
        <v>15</v>
      </c>
      <c r="D155" s="17">
        <v>44991</v>
      </c>
      <c r="E155" s="18">
        <v>0.72916666666666663</v>
      </c>
      <c r="F155" s="16" t="s">
        <v>19</v>
      </c>
      <c r="G155" s="16" t="s">
        <v>8</v>
      </c>
      <c r="H155" s="16" t="s">
        <v>413</v>
      </c>
      <c r="I155" s="16" t="s">
        <v>343</v>
      </c>
      <c r="J155" s="16">
        <v>4637.26</v>
      </c>
      <c r="K155" s="17">
        <v>44991</v>
      </c>
      <c r="L155" s="16" t="s">
        <v>404</v>
      </c>
      <c r="M155" s="16" t="s">
        <v>374</v>
      </c>
      <c r="N155" s="16" t="s">
        <v>481</v>
      </c>
      <c r="O155" s="17">
        <v>33580</v>
      </c>
      <c r="P155" s="16">
        <v>8135666049</v>
      </c>
      <c r="Q155" s="16" t="s">
        <v>347</v>
      </c>
      <c r="R155" s="17">
        <v>45043</v>
      </c>
      <c r="S155" s="16" t="s">
        <v>358</v>
      </c>
      <c r="T155" s="16" t="s">
        <v>407</v>
      </c>
      <c r="U155" s="16" t="s">
        <v>344</v>
      </c>
      <c r="V155" s="16" t="s">
        <v>374</v>
      </c>
      <c r="W155" s="16" t="s">
        <v>310</v>
      </c>
      <c r="X155" s="16">
        <v>6570137231</v>
      </c>
      <c r="Y155" s="16">
        <v>23</v>
      </c>
      <c r="Z155" s="16" t="s">
        <v>297</v>
      </c>
      <c r="AA155" s="16" t="s">
        <v>408</v>
      </c>
      <c r="AB155" s="17">
        <v>45071</v>
      </c>
      <c r="AC155" s="16">
        <v>2082.3000000000002</v>
      </c>
      <c r="AD155" s="16" t="s">
        <v>316</v>
      </c>
      <c r="AE155" s="16" t="s">
        <v>363</v>
      </c>
    </row>
    <row r="156" spans="1:31" x14ac:dyDescent="0.3">
      <c r="A156" s="13" t="s">
        <v>219</v>
      </c>
      <c r="B156" s="13" t="s">
        <v>14</v>
      </c>
      <c r="C156" s="13" t="s">
        <v>52</v>
      </c>
      <c r="D156" s="14">
        <v>44929</v>
      </c>
      <c r="E156" s="15">
        <v>0.39583333333333331</v>
      </c>
      <c r="F156" s="13" t="s">
        <v>11</v>
      </c>
      <c r="G156" s="13" t="s">
        <v>12</v>
      </c>
      <c r="H156" s="13" t="s">
        <v>389</v>
      </c>
      <c r="I156" s="13" t="s">
        <v>364</v>
      </c>
      <c r="J156" s="13">
        <v>2736.34</v>
      </c>
      <c r="K156" s="14">
        <v>44929</v>
      </c>
      <c r="L156" s="13" t="s">
        <v>370</v>
      </c>
      <c r="M156" s="13" t="s">
        <v>371</v>
      </c>
      <c r="N156" s="13" t="s">
        <v>482</v>
      </c>
      <c r="O156" s="14">
        <v>24333</v>
      </c>
      <c r="P156" s="13">
        <v>7482069727</v>
      </c>
      <c r="Q156" s="13" t="s">
        <v>357</v>
      </c>
      <c r="R156" s="14">
        <v>44448</v>
      </c>
      <c r="S156" s="13" t="s">
        <v>372</v>
      </c>
      <c r="T156" s="13" t="s">
        <v>373</v>
      </c>
      <c r="U156" s="13" t="s">
        <v>360</v>
      </c>
      <c r="V156" s="13" t="s">
        <v>391</v>
      </c>
      <c r="W156" s="13" t="s">
        <v>308</v>
      </c>
      <c r="X156" s="13">
        <v>8322010158</v>
      </c>
      <c r="Y156" s="13">
        <v>17</v>
      </c>
      <c r="Z156" s="13" t="s">
        <v>299</v>
      </c>
      <c r="AA156" s="13" t="s">
        <v>375</v>
      </c>
      <c r="AB156" s="14">
        <v>45170</v>
      </c>
      <c r="AC156" s="13">
        <v>4799.8599999999997</v>
      </c>
      <c r="AD156" s="13" t="s">
        <v>317</v>
      </c>
      <c r="AE156" s="13" t="s">
        <v>376</v>
      </c>
    </row>
    <row r="157" spans="1:31" x14ac:dyDescent="0.3">
      <c r="A157" s="16" t="s">
        <v>220</v>
      </c>
      <c r="B157" s="16" t="s">
        <v>74</v>
      </c>
      <c r="C157" s="16" t="s">
        <v>47</v>
      </c>
      <c r="D157" s="17">
        <v>45252</v>
      </c>
      <c r="E157" s="18">
        <v>0.60416666666666663</v>
      </c>
      <c r="F157" s="16" t="s">
        <v>3</v>
      </c>
      <c r="G157" s="16" t="s">
        <v>34</v>
      </c>
      <c r="H157" s="16" t="s">
        <v>342</v>
      </c>
      <c r="I157" s="16" t="s">
        <v>343</v>
      </c>
      <c r="J157" s="16">
        <v>4964.71</v>
      </c>
      <c r="K157" s="17">
        <v>45252</v>
      </c>
      <c r="L157" s="16" t="s">
        <v>390</v>
      </c>
      <c r="M157" s="16" t="s">
        <v>371</v>
      </c>
      <c r="N157" s="16" t="s">
        <v>482</v>
      </c>
      <c r="O157" s="17">
        <v>37316</v>
      </c>
      <c r="P157" s="16">
        <v>7765390555</v>
      </c>
      <c r="Q157" s="16" t="s">
        <v>347</v>
      </c>
      <c r="R157" s="17">
        <v>44580</v>
      </c>
      <c r="S157" s="16" t="s">
        <v>348</v>
      </c>
      <c r="T157" s="16" t="s">
        <v>426</v>
      </c>
      <c r="U157" s="16" t="s">
        <v>383</v>
      </c>
      <c r="V157" s="16" t="s">
        <v>399</v>
      </c>
      <c r="W157" s="16" t="s">
        <v>308</v>
      </c>
      <c r="X157" s="16">
        <v>9069162601</v>
      </c>
      <c r="Y157" s="16">
        <v>5</v>
      </c>
      <c r="Z157" s="16" t="s">
        <v>299</v>
      </c>
      <c r="AA157" s="16" t="s">
        <v>427</v>
      </c>
      <c r="AB157" s="17">
        <v>45192</v>
      </c>
      <c r="AC157" s="16">
        <v>980.95</v>
      </c>
      <c r="AD157" s="16" t="s">
        <v>316</v>
      </c>
      <c r="AE157" s="16" t="s">
        <v>363</v>
      </c>
    </row>
    <row r="158" spans="1:31" x14ac:dyDescent="0.3">
      <c r="A158" s="13" t="s">
        <v>221</v>
      </c>
      <c r="B158" s="13" t="s">
        <v>77</v>
      </c>
      <c r="C158" s="13" t="s">
        <v>25</v>
      </c>
      <c r="D158" s="14">
        <v>45058</v>
      </c>
      <c r="E158" s="15">
        <v>0.45833333333333331</v>
      </c>
      <c r="F158" s="13" t="s">
        <v>31</v>
      </c>
      <c r="G158" s="13" t="s">
        <v>34</v>
      </c>
      <c r="H158" s="13" t="s">
        <v>389</v>
      </c>
      <c r="I158" s="13" t="s">
        <v>364</v>
      </c>
      <c r="J158" s="13">
        <v>4331.41</v>
      </c>
      <c r="K158" s="14">
        <v>45058</v>
      </c>
      <c r="L158" s="13" t="s">
        <v>390</v>
      </c>
      <c r="M158" s="13" t="s">
        <v>371</v>
      </c>
      <c r="N158" s="13" t="s">
        <v>482</v>
      </c>
      <c r="O158" s="14">
        <v>35790</v>
      </c>
      <c r="P158" s="13">
        <v>8545613046</v>
      </c>
      <c r="Q158" s="13" t="s">
        <v>357</v>
      </c>
      <c r="R158" s="14">
        <v>44838</v>
      </c>
      <c r="S158" s="13" t="s">
        <v>358</v>
      </c>
      <c r="T158" s="13" t="s">
        <v>428</v>
      </c>
      <c r="U158" s="13" t="s">
        <v>370</v>
      </c>
      <c r="V158" s="13" t="s">
        <v>374</v>
      </c>
      <c r="W158" s="13" t="s">
        <v>309</v>
      </c>
      <c r="X158" s="13">
        <v>8217493115</v>
      </c>
      <c r="Y158" s="13">
        <v>26</v>
      </c>
      <c r="Z158" s="13" t="s">
        <v>299</v>
      </c>
      <c r="AA158" s="13" t="s">
        <v>429</v>
      </c>
      <c r="AB158" s="14">
        <v>45034</v>
      </c>
      <c r="AC158" s="13">
        <v>1654.53</v>
      </c>
      <c r="AD158" s="13" t="s">
        <v>317</v>
      </c>
      <c r="AE158" s="13" t="s">
        <v>376</v>
      </c>
    </row>
    <row r="159" spans="1:31" x14ac:dyDescent="0.3">
      <c r="A159" s="16" t="s">
        <v>222</v>
      </c>
      <c r="B159" s="16" t="s">
        <v>83</v>
      </c>
      <c r="C159" s="16" t="s">
        <v>28</v>
      </c>
      <c r="D159" s="17">
        <v>45119</v>
      </c>
      <c r="E159" s="18">
        <v>0.51041666666666663</v>
      </c>
      <c r="F159" s="16" t="s">
        <v>22</v>
      </c>
      <c r="G159" s="16" t="s">
        <v>34</v>
      </c>
      <c r="H159" s="16" t="s">
        <v>342</v>
      </c>
      <c r="I159" s="16" t="s">
        <v>354</v>
      </c>
      <c r="J159" s="16">
        <v>1438.3</v>
      </c>
      <c r="K159" s="17">
        <v>45119</v>
      </c>
      <c r="L159" s="16" t="s">
        <v>383</v>
      </c>
      <c r="M159" s="16" t="s">
        <v>432</v>
      </c>
      <c r="N159" s="16" t="s">
        <v>482</v>
      </c>
      <c r="O159" s="17">
        <v>34387</v>
      </c>
      <c r="P159" s="16">
        <v>6141951830</v>
      </c>
      <c r="Q159" s="16" t="s">
        <v>386</v>
      </c>
      <c r="R159" s="17">
        <v>44557</v>
      </c>
      <c r="S159" s="16" t="s">
        <v>348</v>
      </c>
      <c r="T159" s="16" t="s">
        <v>433</v>
      </c>
      <c r="U159" s="16" t="s">
        <v>383</v>
      </c>
      <c r="V159" s="16" t="s">
        <v>371</v>
      </c>
      <c r="W159" s="16" t="s">
        <v>309</v>
      </c>
      <c r="X159" s="16">
        <v>6176383634</v>
      </c>
      <c r="Y159" s="16">
        <v>21</v>
      </c>
      <c r="Z159" s="16" t="s">
        <v>298</v>
      </c>
      <c r="AA159" s="16" t="s">
        <v>434</v>
      </c>
      <c r="AB159" s="17">
        <v>45033</v>
      </c>
      <c r="AC159" s="16">
        <v>2976.02</v>
      </c>
      <c r="AD159" s="16" t="s">
        <v>317</v>
      </c>
      <c r="AE159" s="16" t="s">
        <v>376</v>
      </c>
    </row>
    <row r="160" spans="1:31" x14ac:dyDescent="0.3">
      <c r="A160" s="13" t="s">
        <v>223</v>
      </c>
      <c r="B160" s="13" t="s">
        <v>27</v>
      </c>
      <c r="C160" s="13" t="s">
        <v>18</v>
      </c>
      <c r="D160" s="14">
        <v>45024</v>
      </c>
      <c r="E160" s="15">
        <v>0.67708333333333337</v>
      </c>
      <c r="F160" s="13" t="s">
        <v>19</v>
      </c>
      <c r="G160" s="13" t="s">
        <v>8</v>
      </c>
      <c r="H160" s="13" t="s">
        <v>342</v>
      </c>
      <c r="I160" s="13" t="s">
        <v>354</v>
      </c>
      <c r="J160" s="13">
        <v>4687.68</v>
      </c>
      <c r="K160" s="14">
        <v>45024</v>
      </c>
      <c r="L160" s="13" t="s">
        <v>390</v>
      </c>
      <c r="M160" s="13" t="s">
        <v>391</v>
      </c>
      <c r="N160" s="13" t="s">
        <v>482</v>
      </c>
      <c r="O160" s="14">
        <v>36729</v>
      </c>
      <c r="P160" s="13">
        <v>7223380592</v>
      </c>
      <c r="Q160" s="13" t="s">
        <v>386</v>
      </c>
      <c r="R160" s="14">
        <v>44400</v>
      </c>
      <c r="S160" s="13" t="s">
        <v>367</v>
      </c>
      <c r="T160" s="13" t="s">
        <v>392</v>
      </c>
      <c r="U160" s="13" t="s">
        <v>381</v>
      </c>
      <c r="V160" s="13" t="s">
        <v>345</v>
      </c>
      <c r="W160" s="13" t="s">
        <v>310</v>
      </c>
      <c r="X160" s="13">
        <v>8737740598</v>
      </c>
      <c r="Y160" s="13">
        <v>19</v>
      </c>
      <c r="Z160" s="13" t="s">
        <v>298</v>
      </c>
      <c r="AA160" s="13" t="s">
        <v>393</v>
      </c>
      <c r="AB160" s="14">
        <v>45070</v>
      </c>
      <c r="AC160" s="13">
        <v>3413.64</v>
      </c>
      <c r="AD160" s="13" t="s">
        <v>311</v>
      </c>
      <c r="AE160" s="13" t="s">
        <v>376</v>
      </c>
    </row>
    <row r="161" spans="1:31" x14ac:dyDescent="0.3">
      <c r="A161" s="16" t="s">
        <v>224</v>
      </c>
      <c r="B161" s="16" t="s">
        <v>30</v>
      </c>
      <c r="C161" s="16" t="s">
        <v>52</v>
      </c>
      <c r="D161" s="17">
        <v>45277</v>
      </c>
      <c r="E161" s="18">
        <v>0.53125</v>
      </c>
      <c r="F161" s="16" t="s">
        <v>19</v>
      </c>
      <c r="G161" s="16" t="s">
        <v>12</v>
      </c>
      <c r="H161" s="16" t="s">
        <v>342</v>
      </c>
      <c r="I161" s="16" t="s">
        <v>343</v>
      </c>
      <c r="J161" s="16">
        <v>1023.65</v>
      </c>
      <c r="K161" s="17">
        <v>45277</v>
      </c>
      <c r="L161" s="16" t="s">
        <v>381</v>
      </c>
      <c r="M161" s="16" t="s">
        <v>371</v>
      </c>
      <c r="N161" s="16" t="s">
        <v>481</v>
      </c>
      <c r="O161" s="17">
        <v>18609</v>
      </c>
      <c r="P161" s="16">
        <v>9271131338</v>
      </c>
      <c r="Q161" s="16" t="s">
        <v>386</v>
      </c>
      <c r="R161" s="17">
        <v>44264</v>
      </c>
      <c r="S161" s="16" t="s">
        <v>367</v>
      </c>
      <c r="T161" s="16" t="s">
        <v>394</v>
      </c>
      <c r="U161" s="16" t="s">
        <v>360</v>
      </c>
      <c r="V161" s="16" t="s">
        <v>391</v>
      </c>
      <c r="W161" s="16" t="s">
        <v>308</v>
      </c>
      <c r="X161" s="16">
        <v>8322010158</v>
      </c>
      <c r="Y161" s="16">
        <v>17</v>
      </c>
      <c r="Z161" s="16" t="s">
        <v>299</v>
      </c>
      <c r="AA161" s="16" t="s">
        <v>395</v>
      </c>
      <c r="AB161" s="17">
        <v>44990</v>
      </c>
      <c r="AC161" s="16">
        <v>4541.1400000000003</v>
      </c>
      <c r="AD161" s="16" t="s">
        <v>316</v>
      </c>
      <c r="AE161" s="16" t="s">
        <v>363</v>
      </c>
    </row>
    <row r="162" spans="1:31" x14ac:dyDescent="0.3">
      <c r="A162" s="13" t="s">
        <v>225</v>
      </c>
      <c r="B162" s="13" t="s">
        <v>21</v>
      </c>
      <c r="C162" s="13" t="s">
        <v>67</v>
      </c>
      <c r="D162" s="14">
        <v>45094</v>
      </c>
      <c r="E162" s="15">
        <v>0.44791666666666669</v>
      </c>
      <c r="F162" s="13" t="s">
        <v>11</v>
      </c>
      <c r="G162" s="13" t="s">
        <v>4</v>
      </c>
      <c r="H162" s="13" t="s">
        <v>342</v>
      </c>
      <c r="I162" s="13" t="s">
        <v>364</v>
      </c>
      <c r="J162" s="13">
        <v>4178.5200000000004</v>
      </c>
      <c r="K162" s="14">
        <v>45094</v>
      </c>
      <c r="L162" s="13" t="s">
        <v>383</v>
      </c>
      <c r="M162" s="13" t="s">
        <v>366</v>
      </c>
      <c r="N162" s="13" t="s">
        <v>481</v>
      </c>
      <c r="O162" s="14">
        <v>24222</v>
      </c>
      <c r="P162" s="13">
        <v>7579616535</v>
      </c>
      <c r="Q162" s="13" t="s">
        <v>347</v>
      </c>
      <c r="R162" s="14">
        <v>44219</v>
      </c>
      <c r="S162" s="13" t="s">
        <v>358</v>
      </c>
      <c r="T162" s="13" t="s">
        <v>384</v>
      </c>
      <c r="U162" s="13" t="s">
        <v>350</v>
      </c>
      <c r="V162" s="13" t="s">
        <v>391</v>
      </c>
      <c r="W162" s="13" t="s">
        <v>308</v>
      </c>
      <c r="X162" s="13">
        <v>9118538547</v>
      </c>
      <c r="Y162" s="13">
        <v>26</v>
      </c>
      <c r="Z162" s="13" t="s">
        <v>297</v>
      </c>
      <c r="AA162" s="13" t="s">
        <v>385</v>
      </c>
      <c r="AB162" s="14">
        <v>45096</v>
      </c>
      <c r="AC162" s="13">
        <v>1381</v>
      </c>
      <c r="AD162" s="13" t="s">
        <v>317</v>
      </c>
      <c r="AE162" s="13" t="s">
        <v>352</v>
      </c>
    </row>
    <row r="163" spans="1:31" x14ac:dyDescent="0.3">
      <c r="A163" s="16" t="s">
        <v>226</v>
      </c>
      <c r="B163" s="16" t="s">
        <v>227</v>
      </c>
      <c r="C163" s="16" t="s">
        <v>7</v>
      </c>
      <c r="D163" s="17">
        <v>44927</v>
      </c>
      <c r="E163" s="18">
        <v>0.71875</v>
      </c>
      <c r="F163" s="16" t="s">
        <v>19</v>
      </c>
      <c r="G163" s="16" t="s">
        <v>8</v>
      </c>
      <c r="H163" s="16" t="s">
        <v>342</v>
      </c>
      <c r="I163" s="16" t="s">
        <v>364</v>
      </c>
      <c r="J163" s="16">
        <v>2212.8000000000002</v>
      </c>
      <c r="K163" s="17">
        <v>44927</v>
      </c>
      <c r="L163" s="16" t="s">
        <v>381</v>
      </c>
      <c r="M163" s="16" t="s">
        <v>345</v>
      </c>
      <c r="N163" s="16" t="s">
        <v>481</v>
      </c>
      <c r="O163" s="17">
        <v>19958</v>
      </c>
      <c r="P163" s="16">
        <v>7040069008</v>
      </c>
      <c r="Q163" s="16" t="s">
        <v>386</v>
      </c>
      <c r="R163" s="17">
        <v>44635</v>
      </c>
      <c r="S163" s="16" t="s">
        <v>358</v>
      </c>
      <c r="T163" s="16" t="s">
        <v>475</v>
      </c>
      <c r="U163" s="16" t="s">
        <v>360</v>
      </c>
      <c r="V163" s="16" t="s">
        <v>361</v>
      </c>
      <c r="W163" s="16" t="s">
        <v>310</v>
      </c>
      <c r="X163" s="16">
        <v>6594221991</v>
      </c>
      <c r="Y163" s="16">
        <v>28</v>
      </c>
      <c r="Z163" s="16" t="s">
        <v>297</v>
      </c>
      <c r="AA163" s="16" t="s">
        <v>476</v>
      </c>
      <c r="AB163" s="17">
        <v>44927</v>
      </c>
      <c r="AC163" s="16">
        <v>2212.8000000000002</v>
      </c>
      <c r="AD163" s="16" t="s">
        <v>311</v>
      </c>
      <c r="AE163" s="16" t="s">
        <v>363</v>
      </c>
    </row>
    <row r="164" spans="1:31" x14ac:dyDescent="0.3">
      <c r="A164" s="13" t="s">
        <v>228</v>
      </c>
      <c r="B164" s="13" t="s">
        <v>30</v>
      </c>
      <c r="C164" s="13" t="s">
        <v>28</v>
      </c>
      <c r="D164" s="14">
        <v>45104</v>
      </c>
      <c r="E164" s="15">
        <v>0.625</v>
      </c>
      <c r="F164" s="13" t="s">
        <v>3</v>
      </c>
      <c r="G164" s="13" t="s">
        <v>8</v>
      </c>
      <c r="H164" s="13" t="s">
        <v>413</v>
      </c>
      <c r="I164" s="13" t="s">
        <v>343</v>
      </c>
      <c r="J164" s="13">
        <v>4450.88</v>
      </c>
      <c r="K164" s="14">
        <v>45104</v>
      </c>
      <c r="L164" s="13" t="s">
        <v>381</v>
      </c>
      <c r="M164" s="13" t="s">
        <v>371</v>
      </c>
      <c r="N164" s="13" t="s">
        <v>481</v>
      </c>
      <c r="O164" s="14">
        <v>18609</v>
      </c>
      <c r="P164" s="13">
        <v>9271131338</v>
      </c>
      <c r="Q164" s="13" t="s">
        <v>386</v>
      </c>
      <c r="R164" s="14">
        <v>44264</v>
      </c>
      <c r="S164" s="13" t="s">
        <v>367</v>
      </c>
      <c r="T164" s="13" t="s">
        <v>394</v>
      </c>
      <c r="U164" s="13" t="s">
        <v>383</v>
      </c>
      <c r="V164" s="13" t="s">
        <v>371</v>
      </c>
      <c r="W164" s="13" t="s">
        <v>309</v>
      </c>
      <c r="X164" s="13">
        <v>6176383634</v>
      </c>
      <c r="Y164" s="13">
        <v>21</v>
      </c>
      <c r="Z164" s="13" t="s">
        <v>298</v>
      </c>
      <c r="AA164" s="13" t="s">
        <v>395</v>
      </c>
      <c r="AB164" s="14">
        <v>44990</v>
      </c>
      <c r="AC164" s="13">
        <v>4541.1400000000003</v>
      </c>
      <c r="AD164" s="13" t="s">
        <v>316</v>
      </c>
      <c r="AE164" s="13" t="s">
        <v>363</v>
      </c>
    </row>
    <row r="165" spans="1:31" x14ac:dyDescent="0.3">
      <c r="A165" s="16" t="s">
        <v>229</v>
      </c>
      <c r="B165" s="16" t="s">
        <v>54</v>
      </c>
      <c r="C165" s="16" t="s">
        <v>47</v>
      </c>
      <c r="D165" s="17">
        <v>45135</v>
      </c>
      <c r="E165" s="18">
        <v>0.71875</v>
      </c>
      <c r="F165" s="16" t="s">
        <v>3</v>
      </c>
      <c r="G165" s="16" t="s">
        <v>12</v>
      </c>
      <c r="H165" s="16" t="s">
        <v>377</v>
      </c>
      <c r="I165" s="16" t="s">
        <v>364</v>
      </c>
      <c r="J165" s="16">
        <v>4406.26</v>
      </c>
      <c r="K165" s="17">
        <v>45135</v>
      </c>
      <c r="L165" s="16" t="s">
        <v>344</v>
      </c>
      <c r="M165" s="16" t="s">
        <v>391</v>
      </c>
      <c r="N165" s="16" t="s">
        <v>482</v>
      </c>
      <c r="O165" s="17">
        <v>24895</v>
      </c>
      <c r="P165" s="16">
        <v>7292262512</v>
      </c>
      <c r="Q165" s="16" t="s">
        <v>386</v>
      </c>
      <c r="R165" s="17">
        <v>45272</v>
      </c>
      <c r="S165" s="16" t="s">
        <v>358</v>
      </c>
      <c r="T165" s="16" t="s">
        <v>414</v>
      </c>
      <c r="U165" s="16" t="s">
        <v>383</v>
      </c>
      <c r="V165" s="16" t="s">
        <v>399</v>
      </c>
      <c r="W165" s="16" t="s">
        <v>308</v>
      </c>
      <c r="X165" s="16">
        <v>9069162601</v>
      </c>
      <c r="Y165" s="16">
        <v>5</v>
      </c>
      <c r="Z165" s="16" t="s">
        <v>299</v>
      </c>
      <c r="AA165" s="16" t="s">
        <v>415</v>
      </c>
      <c r="AB165" s="17">
        <v>45265</v>
      </c>
      <c r="AC165" s="16">
        <v>4113.62</v>
      </c>
      <c r="AD165" s="16" t="s">
        <v>316</v>
      </c>
      <c r="AE165" s="16" t="s">
        <v>376</v>
      </c>
    </row>
    <row r="166" spans="1:31" x14ac:dyDescent="0.3">
      <c r="A166" s="13" t="s">
        <v>230</v>
      </c>
      <c r="B166" s="13" t="s">
        <v>90</v>
      </c>
      <c r="C166" s="13" t="s">
        <v>52</v>
      </c>
      <c r="D166" s="14">
        <v>45020</v>
      </c>
      <c r="E166" s="15">
        <v>0.64583333333333337</v>
      </c>
      <c r="F166" s="13" t="s">
        <v>11</v>
      </c>
      <c r="G166" s="13" t="s">
        <v>12</v>
      </c>
      <c r="H166" s="13" t="s">
        <v>353</v>
      </c>
      <c r="I166" s="13" t="s">
        <v>354</v>
      </c>
      <c r="J166" s="13">
        <v>4126.66</v>
      </c>
      <c r="K166" s="14">
        <v>45020</v>
      </c>
      <c r="L166" s="13" t="s">
        <v>370</v>
      </c>
      <c r="M166" s="13" t="s">
        <v>366</v>
      </c>
      <c r="N166" s="13" t="s">
        <v>482</v>
      </c>
      <c r="O166" s="14">
        <v>31791</v>
      </c>
      <c r="P166" s="13">
        <v>8280346676</v>
      </c>
      <c r="Q166" s="13" t="s">
        <v>347</v>
      </c>
      <c r="R166" s="14">
        <v>44740</v>
      </c>
      <c r="S166" s="13" t="s">
        <v>348</v>
      </c>
      <c r="T166" s="13" t="s">
        <v>437</v>
      </c>
      <c r="U166" s="13" t="s">
        <v>360</v>
      </c>
      <c r="V166" s="13" t="s">
        <v>391</v>
      </c>
      <c r="W166" s="13" t="s">
        <v>308</v>
      </c>
      <c r="X166" s="13">
        <v>8322010158</v>
      </c>
      <c r="Y166" s="13">
        <v>17</v>
      </c>
      <c r="Z166" s="13" t="s">
        <v>299</v>
      </c>
      <c r="AA166" s="13" t="s">
        <v>438</v>
      </c>
      <c r="AB166" s="14">
        <v>45189</v>
      </c>
      <c r="AC166" s="13">
        <v>4186.3500000000004</v>
      </c>
      <c r="AD166" s="13" t="s">
        <v>317</v>
      </c>
      <c r="AE166" s="13" t="s">
        <v>363</v>
      </c>
    </row>
    <row r="167" spans="1:31" x14ac:dyDescent="0.3">
      <c r="A167" s="16" t="s">
        <v>231</v>
      </c>
      <c r="B167" s="16" t="s">
        <v>33</v>
      </c>
      <c r="C167" s="16" t="s">
        <v>28</v>
      </c>
      <c r="D167" s="17">
        <v>44938</v>
      </c>
      <c r="E167" s="18">
        <v>0.61458333333333337</v>
      </c>
      <c r="F167" s="16" t="s">
        <v>3</v>
      </c>
      <c r="G167" s="16" t="s">
        <v>8</v>
      </c>
      <c r="H167" s="16" t="s">
        <v>377</v>
      </c>
      <c r="I167" s="16" t="s">
        <v>343</v>
      </c>
      <c r="J167" s="16">
        <v>4055.14</v>
      </c>
      <c r="K167" s="17">
        <v>44938</v>
      </c>
      <c r="L167" s="16" t="s">
        <v>360</v>
      </c>
      <c r="M167" s="16" t="s">
        <v>371</v>
      </c>
      <c r="N167" s="16" t="s">
        <v>482</v>
      </c>
      <c r="O167" s="17">
        <v>22090</v>
      </c>
      <c r="P167" s="16">
        <v>7734463155</v>
      </c>
      <c r="Q167" s="16" t="s">
        <v>357</v>
      </c>
      <c r="R167" s="17">
        <v>44468</v>
      </c>
      <c r="S167" s="16" t="s">
        <v>358</v>
      </c>
      <c r="T167" s="16" t="s">
        <v>396</v>
      </c>
      <c r="U167" s="16" t="s">
        <v>383</v>
      </c>
      <c r="V167" s="16" t="s">
        <v>371</v>
      </c>
      <c r="W167" s="16" t="s">
        <v>309</v>
      </c>
      <c r="X167" s="16">
        <v>6176383634</v>
      </c>
      <c r="Y167" s="16">
        <v>21</v>
      </c>
      <c r="Z167" s="16" t="s">
        <v>298</v>
      </c>
      <c r="AA167" s="16" t="s">
        <v>397</v>
      </c>
      <c r="AB167" s="17">
        <v>44939</v>
      </c>
      <c r="AC167" s="16">
        <v>1595.67</v>
      </c>
      <c r="AD167" s="16" t="s">
        <v>311</v>
      </c>
      <c r="AE167" s="16" t="s">
        <v>363</v>
      </c>
    </row>
    <row r="168" spans="1:31" x14ac:dyDescent="0.3">
      <c r="A168" s="13" t="s">
        <v>232</v>
      </c>
      <c r="B168" s="13" t="s">
        <v>118</v>
      </c>
      <c r="C168" s="13" t="s">
        <v>52</v>
      </c>
      <c r="D168" s="14">
        <v>45245</v>
      </c>
      <c r="E168" s="15">
        <v>0.34375</v>
      </c>
      <c r="F168" s="13" t="s">
        <v>31</v>
      </c>
      <c r="G168" s="13" t="s">
        <v>4</v>
      </c>
      <c r="H168" s="13" t="s">
        <v>342</v>
      </c>
      <c r="I168" s="13" t="s">
        <v>343</v>
      </c>
      <c r="J168" s="13">
        <v>1871.06</v>
      </c>
      <c r="K168" s="14">
        <v>45245</v>
      </c>
      <c r="L168" s="13" t="s">
        <v>360</v>
      </c>
      <c r="M168" s="13" t="s">
        <v>371</v>
      </c>
      <c r="N168" s="13" t="s">
        <v>481</v>
      </c>
      <c r="O168" s="14">
        <v>34072</v>
      </c>
      <c r="P168" s="13">
        <v>7039619487</v>
      </c>
      <c r="Q168" s="13" t="s">
        <v>357</v>
      </c>
      <c r="R168" s="14">
        <v>45116</v>
      </c>
      <c r="S168" s="13" t="s">
        <v>358</v>
      </c>
      <c r="T168" s="13" t="s">
        <v>453</v>
      </c>
      <c r="U168" s="13" t="s">
        <v>360</v>
      </c>
      <c r="V168" s="13" t="s">
        <v>391</v>
      </c>
      <c r="W168" s="13" t="s">
        <v>308</v>
      </c>
      <c r="X168" s="13">
        <v>8322010158</v>
      </c>
      <c r="Y168" s="13">
        <v>17</v>
      </c>
      <c r="Z168" s="13" t="s">
        <v>299</v>
      </c>
      <c r="AA168" s="13" t="s">
        <v>454</v>
      </c>
      <c r="AB168" s="14">
        <v>45077</v>
      </c>
      <c r="AC168" s="13">
        <v>3815.93</v>
      </c>
      <c r="AD168" s="13" t="s">
        <v>311</v>
      </c>
      <c r="AE168" s="13" t="s">
        <v>363</v>
      </c>
    </row>
    <row r="169" spans="1:31" x14ac:dyDescent="0.3">
      <c r="A169" s="16" t="s">
        <v>233</v>
      </c>
      <c r="B169" s="16" t="s">
        <v>83</v>
      </c>
      <c r="C169" s="16" t="s">
        <v>7</v>
      </c>
      <c r="D169" s="17">
        <v>45198</v>
      </c>
      <c r="E169" s="18">
        <v>0.41666666666666669</v>
      </c>
      <c r="F169" s="16" t="s">
        <v>11</v>
      </c>
      <c r="G169" s="16" t="s">
        <v>8</v>
      </c>
      <c r="H169" s="16" t="s">
        <v>413</v>
      </c>
      <c r="I169" s="16" t="s">
        <v>364</v>
      </c>
      <c r="J169" s="16">
        <v>864.14</v>
      </c>
      <c r="K169" s="17">
        <v>45198</v>
      </c>
      <c r="L169" s="16" t="s">
        <v>383</v>
      </c>
      <c r="M169" s="16" t="s">
        <v>432</v>
      </c>
      <c r="N169" s="16" t="s">
        <v>482</v>
      </c>
      <c r="O169" s="17">
        <v>34387</v>
      </c>
      <c r="P169" s="16">
        <v>6141951830</v>
      </c>
      <c r="Q169" s="16" t="s">
        <v>386</v>
      </c>
      <c r="R169" s="17">
        <v>44557</v>
      </c>
      <c r="S169" s="16" t="s">
        <v>348</v>
      </c>
      <c r="T169" s="16" t="s">
        <v>433</v>
      </c>
      <c r="U169" s="16" t="s">
        <v>360</v>
      </c>
      <c r="V169" s="16" t="s">
        <v>361</v>
      </c>
      <c r="W169" s="16" t="s">
        <v>310</v>
      </c>
      <c r="X169" s="16">
        <v>6594221991</v>
      </c>
      <c r="Y169" s="16">
        <v>28</v>
      </c>
      <c r="Z169" s="16" t="s">
        <v>297</v>
      </c>
      <c r="AA169" s="16" t="s">
        <v>434</v>
      </c>
      <c r="AB169" s="17">
        <v>45033</v>
      </c>
      <c r="AC169" s="16">
        <v>2976.02</v>
      </c>
      <c r="AD169" s="16" t="s">
        <v>317</v>
      </c>
      <c r="AE169" s="16" t="s">
        <v>376</v>
      </c>
    </row>
    <row r="170" spans="1:31" x14ac:dyDescent="0.3">
      <c r="A170" s="13" t="s">
        <v>234</v>
      </c>
      <c r="B170" s="13" t="s">
        <v>38</v>
      </c>
      <c r="C170" s="13" t="s">
        <v>47</v>
      </c>
      <c r="D170" s="14">
        <v>45131</v>
      </c>
      <c r="E170" s="15">
        <v>0.69791666666666663</v>
      </c>
      <c r="F170" s="13" t="s">
        <v>31</v>
      </c>
      <c r="G170" s="13" t="s">
        <v>12</v>
      </c>
      <c r="H170" s="13" t="s">
        <v>389</v>
      </c>
      <c r="I170" s="13" t="s">
        <v>343</v>
      </c>
      <c r="J170" s="13">
        <v>2313.41</v>
      </c>
      <c r="K170" s="14">
        <v>45131</v>
      </c>
      <c r="L170" s="13" t="s">
        <v>360</v>
      </c>
      <c r="M170" s="13" t="s">
        <v>345</v>
      </c>
      <c r="N170" s="13" t="s">
        <v>482</v>
      </c>
      <c r="O170" s="14">
        <v>38487</v>
      </c>
      <c r="P170" s="13">
        <v>8923607677</v>
      </c>
      <c r="Q170" s="13" t="s">
        <v>386</v>
      </c>
      <c r="R170" s="14">
        <v>45035</v>
      </c>
      <c r="S170" s="13" t="s">
        <v>372</v>
      </c>
      <c r="T170" s="13" t="s">
        <v>402</v>
      </c>
      <c r="U170" s="13" t="s">
        <v>383</v>
      </c>
      <c r="V170" s="13" t="s">
        <v>399</v>
      </c>
      <c r="W170" s="13" t="s">
        <v>308</v>
      </c>
      <c r="X170" s="13">
        <v>9069162601</v>
      </c>
      <c r="Y170" s="13">
        <v>5</v>
      </c>
      <c r="Z170" s="13" t="s">
        <v>299</v>
      </c>
      <c r="AA170" s="13" t="s">
        <v>403</v>
      </c>
      <c r="AB170" s="14">
        <v>45053</v>
      </c>
      <c r="AC170" s="13">
        <v>771.2</v>
      </c>
      <c r="AD170" s="13" t="s">
        <v>317</v>
      </c>
      <c r="AE170" s="13" t="s">
        <v>352</v>
      </c>
    </row>
    <row r="171" spans="1:31" x14ac:dyDescent="0.3">
      <c r="A171" s="16" t="s">
        <v>235</v>
      </c>
      <c r="B171" s="16" t="s">
        <v>122</v>
      </c>
      <c r="C171" s="16" t="s">
        <v>67</v>
      </c>
      <c r="D171" s="17">
        <v>44988</v>
      </c>
      <c r="E171" s="18">
        <v>0.375</v>
      </c>
      <c r="F171" s="16" t="s">
        <v>22</v>
      </c>
      <c r="G171" s="16" t="s">
        <v>4</v>
      </c>
      <c r="H171" s="16" t="s">
        <v>413</v>
      </c>
      <c r="I171" s="16" t="s">
        <v>364</v>
      </c>
      <c r="J171" s="16">
        <v>1280.8599999999999</v>
      </c>
      <c r="K171" s="17">
        <v>44988</v>
      </c>
      <c r="L171" s="16" t="s">
        <v>383</v>
      </c>
      <c r="M171" s="16" t="s">
        <v>399</v>
      </c>
      <c r="N171" s="16" t="s">
        <v>482</v>
      </c>
      <c r="O171" s="17">
        <v>29305</v>
      </c>
      <c r="P171" s="16">
        <v>9127665406</v>
      </c>
      <c r="Q171" s="16" t="s">
        <v>386</v>
      </c>
      <c r="R171" s="17">
        <v>44760</v>
      </c>
      <c r="S171" s="16" t="s">
        <v>348</v>
      </c>
      <c r="T171" s="16" t="s">
        <v>455</v>
      </c>
      <c r="U171" s="16" t="s">
        <v>350</v>
      </c>
      <c r="V171" s="16" t="s">
        <v>391</v>
      </c>
      <c r="W171" s="16" t="s">
        <v>308</v>
      </c>
      <c r="X171" s="16">
        <v>9118538547</v>
      </c>
      <c r="Y171" s="16">
        <v>26</v>
      </c>
      <c r="Z171" s="16" t="s">
        <v>297</v>
      </c>
      <c r="AA171" s="16" t="s">
        <v>456</v>
      </c>
      <c r="AB171" s="17">
        <v>45148</v>
      </c>
      <c r="AC171" s="16">
        <v>930.72</v>
      </c>
      <c r="AD171" s="16" t="s">
        <v>316</v>
      </c>
      <c r="AE171" s="16" t="s">
        <v>352</v>
      </c>
    </row>
    <row r="172" spans="1:31" x14ac:dyDescent="0.3">
      <c r="A172" s="13" t="s">
        <v>236</v>
      </c>
      <c r="B172" s="13" t="s">
        <v>161</v>
      </c>
      <c r="C172" s="13" t="s">
        <v>41</v>
      </c>
      <c r="D172" s="14">
        <v>45034</v>
      </c>
      <c r="E172" s="15">
        <v>0.6875</v>
      </c>
      <c r="F172" s="13" t="s">
        <v>31</v>
      </c>
      <c r="G172" s="13" t="s">
        <v>12</v>
      </c>
      <c r="H172" s="13" t="s">
        <v>342</v>
      </c>
      <c r="I172" s="13" t="s">
        <v>364</v>
      </c>
      <c r="J172" s="13">
        <v>3627.28</v>
      </c>
      <c r="K172" s="14">
        <v>45034</v>
      </c>
      <c r="L172" s="13" t="s">
        <v>365</v>
      </c>
      <c r="M172" s="13" t="s">
        <v>361</v>
      </c>
      <c r="N172" s="13" t="s">
        <v>481</v>
      </c>
      <c r="O172" s="14">
        <v>24445</v>
      </c>
      <c r="P172" s="13">
        <v>8990604070</v>
      </c>
      <c r="Q172" s="13" t="s">
        <v>386</v>
      </c>
      <c r="R172" s="14">
        <v>44831</v>
      </c>
      <c r="S172" s="13" t="s">
        <v>358</v>
      </c>
      <c r="T172" s="13" t="s">
        <v>469</v>
      </c>
      <c r="U172" s="13" t="s">
        <v>381</v>
      </c>
      <c r="V172" s="13" t="s">
        <v>374</v>
      </c>
      <c r="W172" s="13" t="s">
        <v>310</v>
      </c>
      <c r="X172" s="13">
        <v>9004382050</v>
      </c>
      <c r="Y172" s="13">
        <v>24</v>
      </c>
      <c r="Z172" s="13" t="s">
        <v>298</v>
      </c>
      <c r="AA172" s="13" t="s">
        <v>470</v>
      </c>
      <c r="AB172" s="14">
        <v>45111</v>
      </c>
      <c r="AC172" s="13">
        <v>4101.6000000000004</v>
      </c>
      <c r="AD172" s="13" t="s">
        <v>316</v>
      </c>
      <c r="AE172" s="13" t="s">
        <v>352</v>
      </c>
    </row>
    <row r="173" spans="1:31" x14ac:dyDescent="0.3">
      <c r="A173" s="16" t="s">
        <v>237</v>
      </c>
      <c r="B173" s="16" t="s">
        <v>178</v>
      </c>
      <c r="C173" s="16" t="s">
        <v>15</v>
      </c>
      <c r="D173" s="17">
        <v>44994</v>
      </c>
      <c r="E173" s="18">
        <v>0.67708333333333337</v>
      </c>
      <c r="F173" s="16" t="s">
        <v>22</v>
      </c>
      <c r="G173" s="16" t="s">
        <v>4</v>
      </c>
      <c r="H173" s="16" t="s">
        <v>413</v>
      </c>
      <c r="I173" s="16" t="s">
        <v>364</v>
      </c>
      <c r="J173" s="16">
        <v>2057.4499999999998</v>
      </c>
      <c r="K173" s="17">
        <v>44994</v>
      </c>
      <c r="L173" s="16" t="s">
        <v>404</v>
      </c>
      <c r="M173" s="16" t="s">
        <v>371</v>
      </c>
      <c r="N173" s="16" t="s">
        <v>482</v>
      </c>
      <c r="O173" s="17">
        <v>29122</v>
      </c>
      <c r="P173" s="16">
        <v>7145815738</v>
      </c>
      <c r="Q173" s="16" t="s">
        <v>386</v>
      </c>
      <c r="R173" s="17">
        <v>44827</v>
      </c>
      <c r="S173" s="16" t="s">
        <v>367</v>
      </c>
      <c r="T173" s="16" t="s">
        <v>473</v>
      </c>
      <c r="U173" s="16" t="s">
        <v>344</v>
      </c>
      <c r="V173" s="16" t="s">
        <v>374</v>
      </c>
      <c r="W173" s="16" t="s">
        <v>310</v>
      </c>
      <c r="X173" s="16">
        <v>6570137231</v>
      </c>
      <c r="Y173" s="16">
        <v>23</v>
      </c>
      <c r="Z173" s="16" t="s">
        <v>297</v>
      </c>
      <c r="AA173" s="16" t="s">
        <v>474</v>
      </c>
      <c r="AB173" s="17">
        <v>45146</v>
      </c>
      <c r="AC173" s="16">
        <v>3030.34</v>
      </c>
      <c r="AD173" s="16" t="s">
        <v>311</v>
      </c>
      <c r="AE173" s="16" t="s">
        <v>352</v>
      </c>
    </row>
    <row r="174" spans="1:31" x14ac:dyDescent="0.3">
      <c r="A174" s="13" t="s">
        <v>238</v>
      </c>
      <c r="B174" s="13" t="s">
        <v>59</v>
      </c>
      <c r="C174" s="13" t="s">
        <v>67</v>
      </c>
      <c r="D174" s="14">
        <v>45081</v>
      </c>
      <c r="E174" s="15">
        <v>0.5625</v>
      </c>
      <c r="F174" s="13" t="s">
        <v>22</v>
      </c>
      <c r="G174" s="13" t="s">
        <v>34</v>
      </c>
      <c r="H174" s="13" t="s">
        <v>413</v>
      </c>
      <c r="I174" s="13" t="s">
        <v>364</v>
      </c>
      <c r="J174" s="13">
        <v>4890.25</v>
      </c>
      <c r="K174" s="14">
        <v>45081</v>
      </c>
      <c r="L174" s="13" t="s">
        <v>381</v>
      </c>
      <c r="M174" s="13" t="s">
        <v>355</v>
      </c>
      <c r="N174" s="13" t="s">
        <v>482</v>
      </c>
      <c r="O174" s="14">
        <v>35046</v>
      </c>
      <c r="P174" s="13">
        <v>8715732851</v>
      </c>
      <c r="Q174" s="13" t="s">
        <v>347</v>
      </c>
      <c r="R174" s="14">
        <v>44701</v>
      </c>
      <c r="S174" s="13" t="s">
        <v>348</v>
      </c>
      <c r="T174" s="13" t="s">
        <v>418</v>
      </c>
      <c r="U174" s="13" t="s">
        <v>350</v>
      </c>
      <c r="V174" s="13" t="s">
        <v>391</v>
      </c>
      <c r="W174" s="13" t="s">
        <v>308</v>
      </c>
      <c r="X174" s="13">
        <v>9118538547</v>
      </c>
      <c r="Y174" s="13">
        <v>26</v>
      </c>
      <c r="Z174" s="13" t="s">
        <v>297</v>
      </c>
      <c r="AA174" s="13" t="s">
        <v>419</v>
      </c>
      <c r="AB174" s="14">
        <v>45055</v>
      </c>
      <c r="AC174" s="13">
        <v>3246.5</v>
      </c>
      <c r="AD174" s="13" t="s">
        <v>316</v>
      </c>
      <c r="AE174" s="13" t="s">
        <v>352</v>
      </c>
    </row>
    <row r="175" spans="1:31" x14ac:dyDescent="0.3">
      <c r="A175" s="16" t="s">
        <v>239</v>
      </c>
      <c r="B175" s="16" t="s">
        <v>43</v>
      </c>
      <c r="C175" s="16" t="s">
        <v>41</v>
      </c>
      <c r="D175" s="17">
        <v>45230</v>
      </c>
      <c r="E175" s="18">
        <v>0.46875</v>
      </c>
      <c r="F175" s="16" t="s">
        <v>31</v>
      </c>
      <c r="G175" s="16" t="s">
        <v>12</v>
      </c>
      <c r="H175" s="16" t="s">
        <v>342</v>
      </c>
      <c r="I175" s="16" t="s">
        <v>364</v>
      </c>
      <c r="J175" s="16">
        <v>3384.37</v>
      </c>
      <c r="K175" s="17">
        <v>45230</v>
      </c>
      <c r="L175" s="16" t="s">
        <v>404</v>
      </c>
      <c r="M175" s="16" t="s">
        <v>374</v>
      </c>
      <c r="N175" s="16" t="s">
        <v>481</v>
      </c>
      <c r="O175" s="17">
        <v>33580</v>
      </c>
      <c r="P175" s="16">
        <v>8135666049</v>
      </c>
      <c r="Q175" s="16" t="s">
        <v>347</v>
      </c>
      <c r="R175" s="17">
        <v>45043</v>
      </c>
      <c r="S175" s="16" t="s">
        <v>358</v>
      </c>
      <c r="T175" s="16" t="s">
        <v>407</v>
      </c>
      <c r="U175" s="16" t="s">
        <v>381</v>
      </c>
      <c r="V175" s="16" t="s">
        <v>374</v>
      </c>
      <c r="W175" s="16" t="s">
        <v>310</v>
      </c>
      <c r="X175" s="16">
        <v>9004382050</v>
      </c>
      <c r="Y175" s="16">
        <v>24</v>
      </c>
      <c r="Z175" s="16" t="s">
        <v>298</v>
      </c>
      <c r="AA175" s="16" t="s">
        <v>408</v>
      </c>
      <c r="AB175" s="17">
        <v>45071</v>
      </c>
      <c r="AC175" s="16">
        <v>2082.3000000000002</v>
      </c>
      <c r="AD175" s="16" t="s">
        <v>316</v>
      </c>
      <c r="AE175" s="16" t="s">
        <v>363</v>
      </c>
    </row>
    <row r="176" spans="1:31" x14ac:dyDescent="0.3">
      <c r="A176" s="13" t="s">
        <v>240</v>
      </c>
      <c r="B176" s="13" t="s">
        <v>170</v>
      </c>
      <c r="C176" s="13" t="s">
        <v>18</v>
      </c>
      <c r="D176" s="14">
        <v>45221</v>
      </c>
      <c r="E176" s="15">
        <v>0.70833333333333337</v>
      </c>
      <c r="F176" s="13" t="s">
        <v>11</v>
      </c>
      <c r="G176" s="13" t="s">
        <v>12</v>
      </c>
      <c r="H176" s="13" t="s">
        <v>413</v>
      </c>
      <c r="I176" s="13" t="s">
        <v>343</v>
      </c>
      <c r="J176" s="13">
        <v>4201.16</v>
      </c>
      <c r="K176" s="14">
        <v>45221</v>
      </c>
      <c r="L176" s="13" t="s">
        <v>404</v>
      </c>
      <c r="M176" s="13" t="s">
        <v>374</v>
      </c>
      <c r="N176" s="13" t="s">
        <v>482</v>
      </c>
      <c r="O176" s="14">
        <v>26278</v>
      </c>
      <c r="P176" s="13">
        <v>7060324619</v>
      </c>
      <c r="Q176" s="13" t="s">
        <v>347</v>
      </c>
      <c r="R176" s="14">
        <v>44822</v>
      </c>
      <c r="S176" s="13" t="s">
        <v>367</v>
      </c>
      <c r="T176" s="13" t="s">
        <v>471</v>
      </c>
      <c r="U176" s="13" t="s">
        <v>381</v>
      </c>
      <c r="V176" s="13" t="s">
        <v>345</v>
      </c>
      <c r="W176" s="13" t="s">
        <v>310</v>
      </c>
      <c r="X176" s="13">
        <v>8737740598</v>
      </c>
      <c r="Y176" s="13">
        <v>19</v>
      </c>
      <c r="Z176" s="13" t="s">
        <v>298</v>
      </c>
      <c r="AA176" s="13" t="s">
        <v>472</v>
      </c>
      <c r="AB176" s="14">
        <v>45033</v>
      </c>
      <c r="AC176" s="13">
        <v>3512.69</v>
      </c>
      <c r="AD176" s="13" t="s">
        <v>316</v>
      </c>
      <c r="AE176" s="13" t="s">
        <v>352</v>
      </c>
    </row>
    <row r="177" spans="1:31" x14ac:dyDescent="0.3">
      <c r="A177" s="16" t="s">
        <v>241</v>
      </c>
      <c r="B177" s="16" t="s">
        <v>85</v>
      </c>
      <c r="C177" s="16" t="s">
        <v>2</v>
      </c>
      <c r="D177" s="17">
        <v>45042</v>
      </c>
      <c r="E177" s="18">
        <v>0.39583333333333331</v>
      </c>
      <c r="F177" s="16" t="s">
        <v>3</v>
      </c>
      <c r="G177" s="16" t="s">
        <v>8</v>
      </c>
      <c r="H177" s="16" t="s">
        <v>353</v>
      </c>
      <c r="I177" s="16" t="s">
        <v>354</v>
      </c>
      <c r="J177" s="16">
        <v>1096.3599999999999</v>
      </c>
      <c r="K177" s="17">
        <v>45042</v>
      </c>
      <c r="L177" s="16" t="s">
        <v>390</v>
      </c>
      <c r="M177" s="16" t="s">
        <v>391</v>
      </c>
      <c r="N177" s="16" t="s">
        <v>482</v>
      </c>
      <c r="O177" s="17">
        <v>37177</v>
      </c>
      <c r="P177" s="16">
        <v>7081396733</v>
      </c>
      <c r="Q177" s="16" t="s">
        <v>357</v>
      </c>
      <c r="R177" s="17">
        <v>44797</v>
      </c>
      <c r="S177" s="16" t="s">
        <v>348</v>
      </c>
      <c r="T177" s="16" t="s">
        <v>435</v>
      </c>
      <c r="U177" s="16" t="s">
        <v>350</v>
      </c>
      <c r="V177" s="16" t="s">
        <v>345</v>
      </c>
      <c r="W177" s="16" t="s">
        <v>310</v>
      </c>
      <c r="X177" s="16">
        <v>7387087517</v>
      </c>
      <c r="Y177" s="16">
        <v>26</v>
      </c>
      <c r="Z177" s="16" t="s">
        <v>297</v>
      </c>
      <c r="AA177" s="16" t="s">
        <v>436</v>
      </c>
      <c r="AB177" s="17">
        <v>45012</v>
      </c>
      <c r="AC177" s="16">
        <v>695.36</v>
      </c>
      <c r="AD177" s="16" t="s">
        <v>311</v>
      </c>
      <c r="AE177" s="16" t="s">
        <v>376</v>
      </c>
    </row>
    <row r="178" spans="1:31" x14ac:dyDescent="0.3">
      <c r="A178" s="13" t="s">
        <v>242</v>
      </c>
      <c r="B178" s="13" t="s">
        <v>132</v>
      </c>
      <c r="C178" s="13" t="s">
        <v>25</v>
      </c>
      <c r="D178" s="14">
        <v>45154</v>
      </c>
      <c r="E178" s="15">
        <v>0.52083333333333337</v>
      </c>
      <c r="F178" s="13" t="s">
        <v>3</v>
      </c>
      <c r="G178" s="13" t="s">
        <v>12</v>
      </c>
      <c r="H178" s="13" t="s">
        <v>353</v>
      </c>
      <c r="I178" s="13" t="s">
        <v>354</v>
      </c>
      <c r="J178" s="13">
        <v>4379.07</v>
      </c>
      <c r="K178" s="14">
        <v>45154</v>
      </c>
      <c r="L178" s="13" t="s">
        <v>370</v>
      </c>
      <c r="M178" s="13" t="s">
        <v>391</v>
      </c>
      <c r="N178" s="13" t="s">
        <v>481</v>
      </c>
      <c r="O178" s="14">
        <v>27830</v>
      </c>
      <c r="P178" s="13">
        <v>9449458981</v>
      </c>
      <c r="Q178" s="13" t="s">
        <v>347</v>
      </c>
      <c r="R178" s="14">
        <v>44952</v>
      </c>
      <c r="S178" s="13" t="s">
        <v>367</v>
      </c>
      <c r="T178" s="13" t="s">
        <v>457</v>
      </c>
      <c r="U178" s="13" t="s">
        <v>370</v>
      </c>
      <c r="V178" s="13" t="s">
        <v>374</v>
      </c>
      <c r="W178" s="13" t="s">
        <v>309</v>
      </c>
      <c r="X178" s="13">
        <v>8217493115</v>
      </c>
      <c r="Y178" s="13">
        <v>26</v>
      </c>
      <c r="Z178" s="13" t="s">
        <v>299</v>
      </c>
      <c r="AA178" s="13" t="s">
        <v>458</v>
      </c>
      <c r="AB178" s="14">
        <v>45257</v>
      </c>
      <c r="AC178" s="13">
        <v>4945.03</v>
      </c>
      <c r="AD178" s="13" t="s">
        <v>316</v>
      </c>
      <c r="AE178" s="13" t="s">
        <v>352</v>
      </c>
    </row>
    <row r="179" spans="1:31" x14ac:dyDescent="0.3">
      <c r="A179" s="16" t="s">
        <v>243</v>
      </c>
      <c r="B179" s="16" t="s">
        <v>144</v>
      </c>
      <c r="C179" s="16" t="s">
        <v>25</v>
      </c>
      <c r="D179" s="17">
        <v>44943</v>
      </c>
      <c r="E179" s="18">
        <v>0.55208333333333337</v>
      </c>
      <c r="F179" s="16" t="s">
        <v>22</v>
      </c>
      <c r="G179" s="16" t="s">
        <v>12</v>
      </c>
      <c r="H179" s="16" t="s">
        <v>413</v>
      </c>
      <c r="I179" s="16" t="s">
        <v>343</v>
      </c>
      <c r="J179" s="16">
        <v>4652.41</v>
      </c>
      <c r="K179" s="17">
        <v>44943</v>
      </c>
      <c r="L179" s="16" t="s">
        <v>381</v>
      </c>
      <c r="M179" s="16" t="s">
        <v>361</v>
      </c>
      <c r="N179" s="16" t="s">
        <v>482</v>
      </c>
      <c r="O179" s="17">
        <v>33359</v>
      </c>
      <c r="P179" s="16">
        <v>6158428240</v>
      </c>
      <c r="Q179" s="16" t="s">
        <v>379</v>
      </c>
      <c r="R179" s="17">
        <v>44830</v>
      </c>
      <c r="S179" s="16" t="s">
        <v>348</v>
      </c>
      <c r="T179" s="16" t="s">
        <v>461</v>
      </c>
      <c r="U179" s="16" t="s">
        <v>370</v>
      </c>
      <c r="V179" s="16" t="s">
        <v>374</v>
      </c>
      <c r="W179" s="16" t="s">
        <v>309</v>
      </c>
      <c r="X179" s="16">
        <v>8217493115</v>
      </c>
      <c r="Y179" s="16">
        <v>26</v>
      </c>
      <c r="Z179" s="16" t="s">
        <v>299</v>
      </c>
      <c r="AA179" s="16" t="s">
        <v>462</v>
      </c>
      <c r="AB179" s="17">
        <v>45228</v>
      </c>
      <c r="AC179" s="16">
        <v>3759.52</v>
      </c>
      <c r="AD179" s="16" t="s">
        <v>311</v>
      </c>
      <c r="AE179" s="16" t="s">
        <v>352</v>
      </c>
    </row>
    <row r="180" spans="1:31" x14ac:dyDescent="0.3">
      <c r="A180" s="13" t="s">
        <v>244</v>
      </c>
      <c r="B180" s="13" t="s">
        <v>245</v>
      </c>
      <c r="C180" s="13" t="s">
        <v>15</v>
      </c>
      <c r="D180" s="14">
        <v>44993</v>
      </c>
      <c r="E180" s="15">
        <v>0.51041666666666663</v>
      </c>
      <c r="F180" s="13" t="s">
        <v>22</v>
      </c>
      <c r="G180" s="13" t="s">
        <v>34</v>
      </c>
      <c r="H180" s="13" t="s">
        <v>389</v>
      </c>
      <c r="I180" s="13" t="s">
        <v>343</v>
      </c>
      <c r="J180" s="13">
        <v>2691.78</v>
      </c>
      <c r="K180" s="14">
        <v>44993</v>
      </c>
      <c r="L180" s="13" t="s">
        <v>360</v>
      </c>
      <c r="M180" s="13" t="s">
        <v>345</v>
      </c>
      <c r="N180" s="13" t="s">
        <v>482</v>
      </c>
      <c r="O180" s="14">
        <v>33414</v>
      </c>
      <c r="P180" s="13">
        <v>6347262390</v>
      </c>
      <c r="Q180" s="13" t="s">
        <v>386</v>
      </c>
      <c r="R180" s="14">
        <v>44305</v>
      </c>
      <c r="S180" s="13" t="s">
        <v>358</v>
      </c>
      <c r="T180" s="13" t="s">
        <v>477</v>
      </c>
      <c r="U180" s="13" t="s">
        <v>344</v>
      </c>
      <c r="V180" s="13" t="s">
        <v>374</v>
      </c>
      <c r="W180" s="13" t="s">
        <v>310</v>
      </c>
      <c r="X180" s="13">
        <v>6570137231</v>
      </c>
      <c r="Y180" s="13">
        <v>23</v>
      </c>
      <c r="Z180" s="13" t="s">
        <v>297</v>
      </c>
      <c r="AA180" s="13" t="s">
        <v>478</v>
      </c>
      <c r="AB180" s="14">
        <v>44993</v>
      </c>
      <c r="AC180" s="13">
        <v>2691.78</v>
      </c>
      <c r="AD180" s="13" t="s">
        <v>311</v>
      </c>
      <c r="AE180" s="13" t="s">
        <v>376</v>
      </c>
    </row>
    <row r="181" spans="1:31" x14ac:dyDescent="0.3">
      <c r="A181" s="16" t="s">
        <v>246</v>
      </c>
      <c r="B181" s="16" t="s">
        <v>156</v>
      </c>
      <c r="C181" s="16" t="s">
        <v>47</v>
      </c>
      <c r="D181" s="17">
        <v>44933</v>
      </c>
      <c r="E181" s="18">
        <v>0.45833333333333331</v>
      </c>
      <c r="F181" s="16" t="s">
        <v>11</v>
      </c>
      <c r="G181" s="16" t="s">
        <v>12</v>
      </c>
      <c r="H181" s="16" t="s">
        <v>342</v>
      </c>
      <c r="I181" s="16" t="s">
        <v>354</v>
      </c>
      <c r="J181" s="16">
        <v>3228.14</v>
      </c>
      <c r="K181" s="17">
        <v>44933</v>
      </c>
      <c r="L181" s="16" t="s">
        <v>344</v>
      </c>
      <c r="M181" s="16" t="s">
        <v>432</v>
      </c>
      <c r="N181" s="16" t="s">
        <v>481</v>
      </c>
      <c r="O181" s="17">
        <v>32667</v>
      </c>
      <c r="P181" s="16">
        <v>6278710077</v>
      </c>
      <c r="Q181" s="16" t="s">
        <v>386</v>
      </c>
      <c r="R181" s="17">
        <v>44555</v>
      </c>
      <c r="S181" s="16" t="s">
        <v>358</v>
      </c>
      <c r="T181" s="16" t="s">
        <v>467</v>
      </c>
      <c r="U181" s="16" t="s">
        <v>383</v>
      </c>
      <c r="V181" s="16" t="s">
        <v>399</v>
      </c>
      <c r="W181" s="16" t="s">
        <v>308</v>
      </c>
      <c r="X181" s="16">
        <v>9069162601</v>
      </c>
      <c r="Y181" s="16">
        <v>5</v>
      </c>
      <c r="Z181" s="16" t="s">
        <v>299</v>
      </c>
      <c r="AA181" s="16" t="s">
        <v>468</v>
      </c>
      <c r="AB181" s="17">
        <v>45055</v>
      </c>
      <c r="AC181" s="16">
        <v>2097.48</v>
      </c>
      <c r="AD181" s="16" t="s">
        <v>311</v>
      </c>
      <c r="AE181" s="16" t="s">
        <v>376</v>
      </c>
    </row>
    <row r="182" spans="1:31" x14ac:dyDescent="0.3">
      <c r="A182" s="13" t="s">
        <v>247</v>
      </c>
      <c r="B182" s="13" t="s">
        <v>65</v>
      </c>
      <c r="C182" s="13" t="s">
        <v>7</v>
      </c>
      <c r="D182" s="14">
        <v>45172</v>
      </c>
      <c r="E182" s="15">
        <v>0.55208333333333337</v>
      </c>
      <c r="F182" s="13" t="s">
        <v>19</v>
      </c>
      <c r="G182" s="13" t="s">
        <v>34</v>
      </c>
      <c r="H182" s="13" t="s">
        <v>353</v>
      </c>
      <c r="I182" s="13" t="s">
        <v>354</v>
      </c>
      <c r="J182" s="13">
        <v>3941.64</v>
      </c>
      <c r="K182" s="14">
        <v>45172</v>
      </c>
      <c r="L182" s="13" t="s">
        <v>390</v>
      </c>
      <c r="M182" s="13" t="s">
        <v>391</v>
      </c>
      <c r="N182" s="13" t="s">
        <v>481</v>
      </c>
      <c r="O182" s="14">
        <v>31656</v>
      </c>
      <c r="P182" s="13">
        <v>8019925828</v>
      </c>
      <c r="Q182" s="13" t="s">
        <v>379</v>
      </c>
      <c r="R182" s="14">
        <v>44408</v>
      </c>
      <c r="S182" s="13" t="s">
        <v>358</v>
      </c>
      <c r="T182" s="13" t="s">
        <v>424</v>
      </c>
      <c r="U182" s="13" t="s">
        <v>360</v>
      </c>
      <c r="V182" s="13" t="s">
        <v>361</v>
      </c>
      <c r="W182" s="13" t="s">
        <v>310</v>
      </c>
      <c r="X182" s="13">
        <v>6594221991</v>
      </c>
      <c r="Y182" s="13">
        <v>28</v>
      </c>
      <c r="Z182" s="13" t="s">
        <v>297</v>
      </c>
      <c r="AA182" s="13" t="s">
        <v>425</v>
      </c>
      <c r="AB182" s="14">
        <v>45002</v>
      </c>
      <c r="AC182" s="13">
        <v>2360.9699999999998</v>
      </c>
      <c r="AD182" s="13" t="s">
        <v>317</v>
      </c>
      <c r="AE182" s="13" t="s">
        <v>363</v>
      </c>
    </row>
    <row r="183" spans="1:31" x14ac:dyDescent="0.3">
      <c r="A183" s="16" t="s">
        <v>248</v>
      </c>
      <c r="B183" s="16" t="s">
        <v>135</v>
      </c>
      <c r="C183" s="16" t="s">
        <v>47</v>
      </c>
      <c r="D183" s="17">
        <v>45028</v>
      </c>
      <c r="E183" s="18">
        <v>0.33333333333333331</v>
      </c>
      <c r="F183" s="16" t="s">
        <v>31</v>
      </c>
      <c r="G183" s="16" t="s">
        <v>34</v>
      </c>
      <c r="H183" s="16" t="s">
        <v>389</v>
      </c>
      <c r="I183" s="16" t="s">
        <v>354</v>
      </c>
      <c r="J183" s="16">
        <v>1286.77</v>
      </c>
      <c r="K183" s="17">
        <v>45028</v>
      </c>
      <c r="L183" s="16" t="s">
        <v>404</v>
      </c>
      <c r="M183" s="16" t="s">
        <v>432</v>
      </c>
      <c r="N183" s="16" t="s">
        <v>481</v>
      </c>
      <c r="O183" s="17">
        <v>32960</v>
      </c>
      <c r="P183" s="16">
        <v>9059178882</v>
      </c>
      <c r="Q183" s="16" t="s">
        <v>347</v>
      </c>
      <c r="R183" s="17">
        <v>44553</v>
      </c>
      <c r="S183" s="16" t="s">
        <v>348</v>
      </c>
      <c r="T183" s="16" t="s">
        <v>459</v>
      </c>
      <c r="U183" s="16" t="s">
        <v>383</v>
      </c>
      <c r="V183" s="16" t="s">
        <v>399</v>
      </c>
      <c r="W183" s="16" t="s">
        <v>308</v>
      </c>
      <c r="X183" s="16">
        <v>9069162601</v>
      </c>
      <c r="Y183" s="16">
        <v>5</v>
      </c>
      <c r="Z183" s="16" t="s">
        <v>299</v>
      </c>
      <c r="AA183" s="16" t="s">
        <v>460</v>
      </c>
      <c r="AB183" s="17">
        <v>45186</v>
      </c>
      <c r="AC183" s="16">
        <v>3628.15</v>
      </c>
      <c r="AD183" s="16" t="s">
        <v>316</v>
      </c>
      <c r="AE183" s="16" t="s">
        <v>363</v>
      </c>
    </row>
    <row r="184" spans="1:31" x14ac:dyDescent="0.3">
      <c r="A184" s="13" t="s">
        <v>249</v>
      </c>
      <c r="B184" s="13" t="s">
        <v>17</v>
      </c>
      <c r="C184" s="13" t="s">
        <v>7</v>
      </c>
      <c r="D184" s="14">
        <v>44960</v>
      </c>
      <c r="E184" s="15">
        <v>0.67708333333333337</v>
      </c>
      <c r="F184" s="13" t="s">
        <v>22</v>
      </c>
      <c r="G184" s="13" t="s">
        <v>34</v>
      </c>
      <c r="H184" s="13" t="s">
        <v>413</v>
      </c>
      <c r="I184" s="13" t="s">
        <v>354</v>
      </c>
      <c r="J184" s="13">
        <v>2761.55</v>
      </c>
      <c r="K184" s="14">
        <v>44960</v>
      </c>
      <c r="L184" s="13" t="s">
        <v>365</v>
      </c>
      <c r="M184" s="13" t="s">
        <v>378</v>
      </c>
      <c r="N184" s="13" t="s">
        <v>482</v>
      </c>
      <c r="O184" s="14">
        <v>26449</v>
      </c>
      <c r="P184" s="13">
        <v>7587653815</v>
      </c>
      <c r="Q184" s="13" t="s">
        <v>379</v>
      </c>
      <c r="R184" s="14">
        <v>44485</v>
      </c>
      <c r="S184" s="13" t="s">
        <v>367</v>
      </c>
      <c r="T184" s="13" t="s">
        <v>380</v>
      </c>
      <c r="U184" s="13" t="s">
        <v>360</v>
      </c>
      <c r="V184" s="13" t="s">
        <v>361</v>
      </c>
      <c r="W184" s="13" t="s">
        <v>310</v>
      </c>
      <c r="X184" s="13">
        <v>6594221991</v>
      </c>
      <c r="Y184" s="13">
        <v>28</v>
      </c>
      <c r="Z184" s="13" t="s">
        <v>297</v>
      </c>
      <c r="AA184" s="13" t="s">
        <v>382</v>
      </c>
      <c r="AB184" s="14">
        <v>45113</v>
      </c>
      <c r="AC184" s="13">
        <v>582.04999999999995</v>
      </c>
      <c r="AD184" s="13" t="s">
        <v>316</v>
      </c>
      <c r="AE184" s="13" t="s">
        <v>352</v>
      </c>
    </row>
    <row r="185" spans="1:31" x14ac:dyDescent="0.3">
      <c r="A185" s="16" t="s">
        <v>250</v>
      </c>
      <c r="B185" s="16" t="s">
        <v>227</v>
      </c>
      <c r="C185" s="16" t="s">
        <v>47</v>
      </c>
      <c r="D185" s="17">
        <v>44983</v>
      </c>
      <c r="E185" s="18">
        <v>0.73958333333333337</v>
      </c>
      <c r="F185" s="16" t="s">
        <v>3</v>
      </c>
      <c r="G185" s="16" t="s">
        <v>34</v>
      </c>
      <c r="H185" s="16" t="s">
        <v>389</v>
      </c>
      <c r="I185" s="16" t="s">
        <v>354</v>
      </c>
      <c r="J185" s="16">
        <v>2293.98</v>
      </c>
      <c r="K185" s="17">
        <v>44983</v>
      </c>
      <c r="L185" s="16" t="s">
        <v>381</v>
      </c>
      <c r="M185" s="16" t="s">
        <v>345</v>
      </c>
      <c r="N185" s="16" t="s">
        <v>481</v>
      </c>
      <c r="O185" s="17">
        <v>19958</v>
      </c>
      <c r="P185" s="16">
        <v>7040069008</v>
      </c>
      <c r="Q185" s="16" t="s">
        <v>386</v>
      </c>
      <c r="R185" s="17">
        <v>44635</v>
      </c>
      <c r="S185" s="16" t="s">
        <v>358</v>
      </c>
      <c r="T185" s="16" t="s">
        <v>475</v>
      </c>
      <c r="U185" s="16" t="s">
        <v>383</v>
      </c>
      <c r="V185" s="16" t="s">
        <v>399</v>
      </c>
      <c r="W185" s="16" t="s">
        <v>308</v>
      </c>
      <c r="X185" s="16">
        <v>9069162601</v>
      </c>
      <c r="Y185" s="16">
        <v>5</v>
      </c>
      <c r="Z185" s="16" t="s">
        <v>299</v>
      </c>
      <c r="AA185" s="16" t="s">
        <v>476</v>
      </c>
      <c r="AB185" s="17">
        <v>44927</v>
      </c>
      <c r="AC185" s="16">
        <v>2212.8000000000002</v>
      </c>
      <c r="AD185" s="16" t="s">
        <v>311</v>
      </c>
      <c r="AE185" s="16" t="s">
        <v>363</v>
      </c>
    </row>
    <row r="186" spans="1:31" x14ac:dyDescent="0.3">
      <c r="A186" s="13" t="s">
        <v>251</v>
      </c>
      <c r="B186" s="13" t="s">
        <v>170</v>
      </c>
      <c r="C186" s="13" t="s">
        <v>2</v>
      </c>
      <c r="D186" s="14">
        <v>45006</v>
      </c>
      <c r="E186" s="15">
        <v>0.58333333333333337</v>
      </c>
      <c r="F186" s="13" t="s">
        <v>11</v>
      </c>
      <c r="G186" s="13" t="s">
        <v>4</v>
      </c>
      <c r="H186" s="13" t="s">
        <v>377</v>
      </c>
      <c r="I186" s="13" t="s">
        <v>364</v>
      </c>
      <c r="J186" s="13">
        <v>1158.68</v>
      </c>
      <c r="K186" s="14">
        <v>45006</v>
      </c>
      <c r="L186" s="13" t="s">
        <v>404</v>
      </c>
      <c r="M186" s="13" t="s">
        <v>374</v>
      </c>
      <c r="N186" s="13" t="s">
        <v>482</v>
      </c>
      <c r="O186" s="14">
        <v>26278</v>
      </c>
      <c r="P186" s="13">
        <v>7060324619</v>
      </c>
      <c r="Q186" s="13" t="s">
        <v>347</v>
      </c>
      <c r="R186" s="14">
        <v>44822</v>
      </c>
      <c r="S186" s="13" t="s">
        <v>367</v>
      </c>
      <c r="T186" s="13" t="s">
        <v>471</v>
      </c>
      <c r="U186" s="13" t="s">
        <v>350</v>
      </c>
      <c r="V186" s="13" t="s">
        <v>345</v>
      </c>
      <c r="W186" s="13" t="s">
        <v>310</v>
      </c>
      <c r="X186" s="13">
        <v>7387087517</v>
      </c>
      <c r="Y186" s="13">
        <v>26</v>
      </c>
      <c r="Z186" s="13" t="s">
        <v>297</v>
      </c>
      <c r="AA186" s="13" t="s">
        <v>472</v>
      </c>
      <c r="AB186" s="14">
        <v>45033</v>
      </c>
      <c r="AC186" s="13">
        <v>3512.69</v>
      </c>
      <c r="AD186" s="13" t="s">
        <v>316</v>
      </c>
      <c r="AE186" s="13" t="s">
        <v>352</v>
      </c>
    </row>
    <row r="187" spans="1:31" x14ac:dyDescent="0.3">
      <c r="A187" s="16" t="s">
        <v>252</v>
      </c>
      <c r="B187" s="16" t="s">
        <v>116</v>
      </c>
      <c r="C187" s="16" t="s">
        <v>18</v>
      </c>
      <c r="D187" s="17">
        <v>45012</v>
      </c>
      <c r="E187" s="18">
        <v>0.71875</v>
      </c>
      <c r="F187" s="16" t="s">
        <v>31</v>
      </c>
      <c r="G187" s="16" t="s">
        <v>8</v>
      </c>
      <c r="H187" s="16" t="s">
        <v>353</v>
      </c>
      <c r="I187" s="16" t="s">
        <v>343</v>
      </c>
      <c r="J187" s="16">
        <v>2153.9</v>
      </c>
      <c r="K187" s="17">
        <v>45012</v>
      </c>
      <c r="L187" s="16" t="s">
        <v>404</v>
      </c>
      <c r="M187" s="16" t="s">
        <v>371</v>
      </c>
      <c r="N187" s="16" t="s">
        <v>482</v>
      </c>
      <c r="O187" s="17">
        <v>34330</v>
      </c>
      <c r="P187" s="16">
        <v>8301134730</v>
      </c>
      <c r="Q187" s="16" t="s">
        <v>347</v>
      </c>
      <c r="R187" s="17">
        <v>45044</v>
      </c>
      <c r="S187" s="16" t="s">
        <v>348</v>
      </c>
      <c r="T187" s="16" t="s">
        <v>451</v>
      </c>
      <c r="U187" s="16" t="s">
        <v>381</v>
      </c>
      <c r="V187" s="16" t="s">
        <v>345</v>
      </c>
      <c r="W187" s="16" t="s">
        <v>310</v>
      </c>
      <c r="X187" s="16">
        <v>8737740598</v>
      </c>
      <c r="Y187" s="16">
        <v>19</v>
      </c>
      <c r="Z187" s="16" t="s">
        <v>298</v>
      </c>
      <c r="AA187" s="16" t="s">
        <v>452</v>
      </c>
      <c r="AB187" s="17">
        <v>45106</v>
      </c>
      <c r="AC187" s="16">
        <v>1256.06</v>
      </c>
      <c r="AD187" s="16" t="s">
        <v>317</v>
      </c>
      <c r="AE187" s="16" t="s">
        <v>376</v>
      </c>
    </row>
    <row r="188" spans="1:31" x14ac:dyDescent="0.3">
      <c r="A188" s="13" t="s">
        <v>253</v>
      </c>
      <c r="B188" s="13" t="s">
        <v>110</v>
      </c>
      <c r="C188" s="13" t="s">
        <v>18</v>
      </c>
      <c r="D188" s="14">
        <v>44970</v>
      </c>
      <c r="E188" s="15">
        <v>0.52083333333333337</v>
      </c>
      <c r="F188" s="13" t="s">
        <v>11</v>
      </c>
      <c r="G188" s="13" t="s">
        <v>4</v>
      </c>
      <c r="H188" s="13" t="s">
        <v>413</v>
      </c>
      <c r="I188" s="13" t="s">
        <v>364</v>
      </c>
      <c r="J188" s="13">
        <v>806.78</v>
      </c>
      <c r="K188" s="14">
        <v>44970</v>
      </c>
      <c r="L188" s="13" t="s">
        <v>383</v>
      </c>
      <c r="M188" s="13" t="s">
        <v>355</v>
      </c>
      <c r="N188" s="13" t="s">
        <v>481</v>
      </c>
      <c r="O188" s="14">
        <v>35975</v>
      </c>
      <c r="P188" s="13">
        <v>8724518272</v>
      </c>
      <c r="Q188" s="13" t="s">
        <v>347</v>
      </c>
      <c r="R188" s="14">
        <v>44423</v>
      </c>
      <c r="S188" s="13" t="s">
        <v>372</v>
      </c>
      <c r="T188" s="13" t="s">
        <v>447</v>
      </c>
      <c r="U188" s="13" t="s">
        <v>381</v>
      </c>
      <c r="V188" s="13" t="s">
        <v>345</v>
      </c>
      <c r="W188" s="13" t="s">
        <v>310</v>
      </c>
      <c r="X188" s="13">
        <v>8737740598</v>
      </c>
      <c r="Y188" s="13">
        <v>19</v>
      </c>
      <c r="Z188" s="13" t="s">
        <v>298</v>
      </c>
      <c r="AA188" s="13" t="s">
        <v>448</v>
      </c>
      <c r="AB188" s="14">
        <v>44994</v>
      </c>
      <c r="AC188" s="13">
        <v>929.91</v>
      </c>
      <c r="AD188" s="13" t="s">
        <v>311</v>
      </c>
      <c r="AE188" s="13" t="s">
        <v>352</v>
      </c>
    </row>
    <row r="189" spans="1:31" x14ac:dyDescent="0.3">
      <c r="A189" s="16" t="s">
        <v>254</v>
      </c>
      <c r="B189" s="16" t="s">
        <v>105</v>
      </c>
      <c r="C189" s="16" t="s">
        <v>41</v>
      </c>
      <c r="D189" s="17">
        <v>45028</v>
      </c>
      <c r="E189" s="18">
        <v>0.6875</v>
      </c>
      <c r="F189" s="16" t="s">
        <v>31</v>
      </c>
      <c r="G189" s="16" t="s">
        <v>12</v>
      </c>
      <c r="H189" s="16" t="s">
        <v>342</v>
      </c>
      <c r="I189" s="16" t="s">
        <v>354</v>
      </c>
      <c r="J189" s="16">
        <v>616.15</v>
      </c>
      <c r="K189" s="17">
        <v>45028</v>
      </c>
      <c r="L189" s="16" t="s">
        <v>365</v>
      </c>
      <c r="M189" s="16" t="s">
        <v>345</v>
      </c>
      <c r="N189" s="16" t="s">
        <v>481</v>
      </c>
      <c r="O189" s="17">
        <v>30967</v>
      </c>
      <c r="P189" s="16">
        <v>8228188767</v>
      </c>
      <c r="Q189" s="16" t="s">
        <v>347</v>
      </c>
      <c r="R189" s="17">
        <v>44576</v>
      </c>
      <c r="S189" s="16" t="s">
        <v>367</v>
      </c>
      <c r="T189" s="16" t="s">
        <v>445</v>
      </c>
      <c r="U189" s="16" t="s">
        <v>381</v>
      </c>
      <c r="V189" s="16" t="s">
        <v>374</v>
      </c>
      <c r="W189" s="16" t="s">
        <v>310</v>
      </c>
      <c r="X189" s="16">
        <v>9004382050</v>
      </c>
      <c r="Y189" s="16">
        <v>24</v>
      </c>
      <c r="Z189" s="16" t="s">
        <v>298</v>
      </c>
      <c r="AA189" s="16" t="s">
        <v>446</v>
      </c>
      <c r="AB189" s="17">
        <v>45205</v>
      </c>
      <c r="AC189" s="16">
        <v>1736.63</v>
      </c>
      <c r="AD189" s="16" t="s">
        <v>311</v>
      </c>
      <c r="AE189" s="16" t="s">
        <v>376</v>
      </c>
    </row>
    <row r="190" spans="1:31" x14ac:dyDescent="0.3">
      <c r="A190" s="13" t="s">
        <v>255</v>
      </c>
      <c r="B190" s="13" t="s">
        <v>33</v>
      </c>
      <c r="C190" s="13" t="s">
        <v>28</v>
      </c>
      <c r="D190" s="14">
        <v>45204</v>
      </c>
      <c r="E190" s="15">
        <v>0.5625</v>
      </c>
      <c r="F190" s="13" t="s">
        <v>31</v>
      </c>
      <c r="G190" s="13" t="s">
        <v>4</v>
      </c>
      <c r="H190" s="13" t="s">
        <v>413</v>
      </c>
      <c r="I190" s="13" t="s">
        <v>354</v>
      </c>
      <c r="J190" s="13">
        <v>1108.25</v>
      </c>
      <c r="K190" s="14">
        <v>45204</v>
      </c>
      <c r="L190" s="13" t="s">
        <v>360</v>
      </c>
      <c r="M190" s="13" t="s">
        <v>371</v>
      </c>
      <c r="N190" s="13" t="s">
        <v>482</v>
      </c>
      <c r="O190" s="14">
        <v>22090</v>
      </c>
      <c r="P190" s="13">
        <v>7734463155</v>
      </c>
      <c r="Q190" s="13" t="s">
        <v>357</v>
      </c>
      <c r="R190" s="14">
        <v>44468</v>
      </c>
      <c r="S190" s="13" t="s">
        <v>358</v>
      </c>
      <c r="T190" s="13" t="s">
        <v>396</v>
      </c>
      <c r="U190" s="13" t="s">
        <v>383</v>
      </c>
      <c r="V190" s="13" t="s">
        <v>371</v>
      </c>
      <c r="W190" s="13" t="s">
        <v>309</v>
      </c>
      <c r="X190" s="13">
        <v>6176383634</v>
      </c>
      <c r="Y190" s="13">
        <v>21</v>
      </c>
      <c r="Z190" s="13" t="s">
        <v>298</v>
      </c>
      <c r="AA190" s="13" t="s">
        <v>397</v>
      </c>
      <c r="AB190" s="14">
        <v>44939</v>
      </c>
      <c r="AC190" s="13">
        <v>1595.67</v>
      </c>
      <c r="AD190" s="13" t="s">
        <v>311</v>
      </c>
      <c r="AE190" s="13" t="s">
        <v>363</v>
      </c>
    </row>
    <row r="191" spans="1:31" x14ac:dyDescent="0.3">
      <c r="A191" s="16" t="s">
        <v>256</v>
      </c>
      <c r="B191" s="16" t="s">
        <v>38</v>
      </c>
      <c r="C191" s="16" t="s">
        <v>18</v>
      </c>
      <c r="D191" s="17">
        <v>45246</v>
      </c>
      <c r="E191" s="18">
        <v>0.63541666666666663</v>
      </c>
      <c r="F191" s="16" t="s">
        <v>22</v>
      </c>
      <c r="G191" s="16" t="s">
        <v>4</v>
      </c>
      <c r="H191" s="16" t="s">
        <v>342</v>
      </c>
      <c r="I191" s="16" t="s">
        <v>354</v>
      </c>
      <c r="J191" s="16">
        <v>4834.0200000000004</v>
      </c>
      <c r="K191" s="17">
        <v>45246</v>
      </c>
      <c r="L191" s="16" t="s">
        <v>360</v>
      </c>
      <c r="M191" s="16" t="s">
        <v>345</v>
      </c>
      <c r="N191" s="16" t="s">
        <v>482</v>
      </c>
      <c r="O191" s="17">
        <v>38487</v>
      </c>
      <c r="P191" s="16">
        <v>8923607677</v>
      </c>
      <c r="Q191" s="16" t="s">
        <v>386</v>
      </c>
      <c r="R191" s="17">
        <v>45035</v>
      </c>
      <c r="S191" s="16" t="s">
        <v>372</v>
      </c>
      <c r="T191" s="16" t="s">
        <v>402</v>
      </c>
      <c r="U191" s="16" t="s">
        <v>381</v>
      </c>
      <c r="V191" s="16" t="s">
        <v>345</v>
      </c>
      <c r="W191" s="16" t="s">
        <v>310</v>
      </c>
      <c r="X191" s="16">
        <v>8737740598</v>
      </c>
      <c r="Y191" s="16">
        <v>19</v>
      </c>
      <c r="Z191" s="16" t="s">
        <v>298</v>
      </c>
      <c r="AA191" s="16" t="s">
        <v>403</v>
      </c>
      <c r="AB191" s="17">
        <v>45053</v>
      </c>
      <c r="AC191" s="16">
        <v>771.2</v>
      </c>
      <c r="AD191" s="16" t="s">
        <v>317</v>
      </c>
      <c r="AE191" s="16" t="s">
        <v>352</v>
      </c>
    </row>
    <row r="192" spans="1:31" x14ac:dyDescent="0.3">
      <c r="A192" s="13" t="s">
        <v>257</v>
      </c>
      <c r="B192" s="13" t="s">
        <v>49</v>
      </c>
      <c r="C192" s="13" t="s">
        <v>18</v>
      </c>
      <c r="D192" s="14">
        <v>45028</v>
      </c>
      <c r="E192" s="15">
        <v>0.66666666666666663</v>
      </c>
      <c r="F192" s="13" t="s">
        <v>11</v>
      </c>
      <c r="G192" s="13" t="s">
        <v>12</v>
      </c>
      <c r="H192" s="13" t="s">
        <v>413</v>
      </c>
      <c r="I192" s="13" t="s">
        <v>364</v>
      </c>
      <c r="J192" s="13">
        <v>2972.88</v>
      </c>
      <c r="K192" s="14">
        <v>45028</v>
      </c>
      <c r="L192" s="13" t="s">
        <v>370</v>
      </c>
      <c r="M192" s="13" t="s">
        <v>378</v>
      </c>
      <c r="N192" s="13" t="s">
        <v>482</v>
      </c>
      <c r="O192" s="14">
        <v>36196</v>
      </c>
      <c r="P192" s="13">
        <v>8886800195</v>
      </c>
      <c r="Q192" s="13" t="s">
        <v>379</v>
      </c>
      <c r="R192" s="14">
        <v>44469</v>
      </c>
      <c r="S192" s="13" t="s">
        <v>372</v>
      </c>
      <c r="T192" s="13" t="s">
        <v>411</v>
      </c>
      <c r="U192" s="13" t="s">
        <v>381</v>
      </c>
      <c r="V192" s="13" t="s">
        <v>345</v>
      </c>
      <c r="W192" s="13" t="s">
        <v>310</v>
      </c>
      <c r="X192" s="13">
        <v>8737740598</v>
      </c>
      <c r="Y192" s="13">
        <v>19</v>
      </c>
      <c r="Z192" s="13" t="s">
        <v>298</v>
      </c>
      <c r="AA192" s="13" t="s">
        <v>412</v>
      </c>
      <c r="AB192" s="14">
        <v>45118</v>
      </c>
      <c r="AC192" s="13">
        <v>1655.49</v>
      </c>
      <c r="AD192" s="13" t="s">
        <v>316</v>
      </c>
      <c r="AE192" s="13" t="s">
        <v>352</v>
      </c>
    </row>
    <row r="193" spans="1:31" x14ac:dyDescent="0.3">
      <c r="A193" s="16" t="s">
        <v>258</v>
      </c>
      <c r="B193" s="16" t="s">
        <v>245</v>
      </c>
      <c r="C193" s="16" t="s">
        <v>67</v>
      </c>
      <c r="D193" s="17">
        <v>45169</v>
      </c>
      <c r="E193" s="18">
        <v>0.59375</v>
      </c>
      <c r="F193" s="16" t="s">
        <v>11</v>
      </c>
      <c r="G193" s="16" t="s">
        <v>12</v>
      </c>
      <c r="H193" s="16" t="s">
        <v>389</v>
      </c>
      <c r="I193" s="16" t="s">
        <v>364</v>
      </c>
      <c r="J193" s="16">
        <v>4846.2</v>
      </c>
      <c r="K193" s="17">
        <v>45169</v>
      </c>
      <c r="L193" s="16" t="s">
        <v>360</v>
      </c>
      <c r="M193" s="16" t="s">
        <v>345</v>
      </c>
      <c r="N193" s="16" t="s">
        <v>482</v>
      </c>
      <c r="O193" s="17">
        <v>33414</v>
      </c>
      <c r="P193" s="16">
        <v>6347262390</v>
      </c>
      <c r="Q193" s="16" t="s">
        <v>386</v>
      </c>
      <c r="R193" s="17">
        <v>44305</v>
      </c>
      <c r="S193" s="16" t="s">
        <v>358</v>
      </c>
      <c r="T193" s="16" t="s">
        <v>477</v>
      </c>
      <c r="U193" s="16" t="s">
        <v>350</v>
      </c>
      <c r="V193" s="16" t="s">
        <v>391</v>
      </c>
      <c r="W193" s="16" t="s">
        <v>308</v>
      </c>
      <c r="X193" s="16">
        <v>9118538547</v>
      </c>
      <c r="Y193" s="16">
        <v>26</v>
      </c>
      <c r="Z193" s="16" t="s">
        <v>297</v>
      </c>
      <c r="AA193" s="16" t="s">
        <v>478</v>
      </c>
      <c r="AB193" s="17">
        <v>44993</v>
      </c>
      <c r="AC193" s="16">
        <v>2691.78</v>
      </c>
      <c r="AD193" s="16" t="s">
        <v>311</v>
      </c>
      <c r="AE193" s="16" t="s">
        <v>376</v>
      </c>
    </row>
    <row r="194" spans="1:31" x14ac:dyDescent="0.3">
      <c r="A194" s="13" t="s">
        <v>259</v>
      </c>
      <c r="B194" s="13" t="s">
        <v>93</v>
      </c>
      <c r="C194" s="13" t="s">
        <v>67</v>
      </c>
      <c r="D194" s="14">
        <v>45184</v>
      </c>
      <c r="E194" s="15">
        <v>0.34375</v>
      </c>
      <c r="F194" s="13" t="s">
        <v>3</v>
      </c>
      <c r="G194" s="13" t="s">
        <v>12</v>
      </c>
      <c r="H194" s="13" t="s">
        <v>389</v>
      </c>
      <c r="I194" s="13" t="s">
        <v>354</v>
      </c>
      <c r="J194" s="13">
        <v>2446.2399999999998</v>
      </c>
      <c r="K194" s="14">
        <v>45184</v>
      </c>
      <c r="L194" s="13" t="s">
        <v>350</v>
      </c>
      <c r="M194" s="13" t="s">
        <v>366</v>
      </c>
      <c r="N194" s="13" t="s">
        <v>482</v>
      </c>
      <c r="O194" s="14">
        <v>27538</v>
      </c>
      <c r="P194" s="13">
        <v>8618058864</v>
      </c>
      <c r="Q194" s="13" t="s">
        <v>386</v>
      </c>
      <c r="R194" s="14">
        <v>45101</v>
      </c>
      <c r="S194" s="13" t="s">
        <v>348</v>
      </c>
      <c r="T194" s="13" t="s">
        <v>439</v>
      </c>
      <c r="U194" s="13" t="s">
        <v>350</v>
      </c>
      <c r="V194" s="13" t="s">
        <v>391</v>
      </c>
      <c r="W194" s="13" t="s">
        <v>308</v>
      </c>
      <c r="X194" s="13">
        <v>9118538547</v>
      </c>
      <c r="Y194" s="13">
        <v>26</v>
      </c>
      <c r="Z194" s="13" t="s">
        <v>297</v>
      </c>
      <c r="AA194" s="13" t="s">
        <v>440</v>
      </c>
      <c r="AB194" s="14">
        <v>45280</v>
      </c>
      <c r="AC194" s="13">
        <v>1526.36</v>
      </c>
      <c r="AD194" s="13" t="s">
        <v>311</v>
      </c>
      <c r="AE194" s="13" t="s">
        <v>363</v>
      </c>
    </row>
    <row r="195" spans="1:31" x14ac:dyDescent="0.3">
      <c r="A195" s="16" t="s">
        <v>260</v>
      </c>
      <c r="B195" s="16" t="s">
        <v>147</v>
      </c>
      <c r="C195" s="16" t="s">
        <v>41</v>
      </c>
      <c r="D195" s="17">
        <v>45022</v>
      </c>
      <c r="E195" s="18">
        <v>0.53125</v>
      </c>
      <c r="F195" s="16" t="s">
        <v>3</v>
      </c>
      <c r="G195" s="16" t="s">
        <v>4</v>
      </c>
      <c r="H195" s="16" t="s">
        <v>389</v>
      </c>
      <c r="I195" s="16" t="s">
        <v>364</v>
      </c>
      <c r="J195" s="16">
        <v>1903.17</v>
      </c>
      <c r="K195" s="17">
        <v>45022</v>
      </c>
      <c r="L195" s="16" t="s">
        <v>360</v>
      </c>
      <c r="M195" s="16" t="s">
        <v>374</v>
      </c>
      <c r="N195" s="16" t="s">
        <v>481</v>
      </c>
      <c r="O195" s="17">
        <v>27946</v>
      </c>
      <c r="P195" s="16">
        <v>7090558393</v>
      </c>
      <c r="Q195" s="16" t="s">
        <v>379</v>
      </c>
      <c r="R195" s="17">
        <v>44341</v>
      </c>
      <c r="S195" s="16" t="s">
        <v>348</v>
      </c>
      <c r="T195" s="16" t="s">
        <v>463</v>
      </c>
      <c r="U195" s="16" t="s">
        <v>381</v>
      </c>
      <c r="V195" s="16" t="s">
        <v>374</v>
      </c>
      <c r="W195" s="16" t="s">
        <v>310</v>
      </c>
      <c r="X195" s="16">
        <v>9004382050</v>
      </c>
      <c r="Y195" s="16">
        <v>24</v>
      </c>
      <c r="Z195" s="16" t="s">
        <v>298</v>
      </c>
      <c r="AA195" s="16" t="s">
        <v>464</v>
      </c>
      <c r="AB195" s="17">
        <v>45048</v>
      </c>
      <c r="AC195" s="16">
        <v>1733.72</v>
      </c>
      <c r="AD195" s="16" t="s">
        <v>311</v>
      </c>
      <c r="AE195" s="16" t="s">
        <v>363</v>
      </c>
    </row>
    <row r="196" spans="1:31" x14ac:dyDescent="0.3">
      <c r="A196" s="13" t="s">
        <v>261</v>
      </c>
      <c r="B196" s="13" t="s">
        <v>10</v>
      </c>
      <c r="C196" s="13" t="s">
        <v>28</v>
      </c>
      <c r="D196" s="14">
        <v>45157</v>
      </c>
      <c r="E196" s="15">
        <v>0.71875</v>
      </c>
      <c r="F196" s="13" t="s">
        <v>22</v>
      </c>
      <c r="G196" s="13" t="s">
        <v>4</v>
      </c>
      <c r="H196" s="13" t="s">
        <v>377</v>
      </c>
      <c r="I196" s="13" t="s">
        <v>364</v>
      </c>
      <c r="J196" s="13">
        <v>2777.64</v>
      </c>
      <c r="K196" s="14">
        <v>45157</v>
      </c>
      <c r="L196" s="13" t="s">
        <v>365</v>
      </c>
      <c r="M196" s="13" t="s">
        <v>366</v>
      </c>
      <c r="N196" s="13" t="s">
        <v>482</v>
      </c>
      <c r="O196" s="14">
        <v>30399</v>
      </c>
      <c r="P196" s="13">
        <v>8720989381</v>
      </c>
      <c r="Q196" s="13" t="s">
        <v>357</v>
      </c>
      <c r="R196" s="14">
        <v>45096</v>
      </c>
      <c r="S196" s="13" t="s">
        <v>367</v>
      </c>
      <c r="T196" s="13" t="s">
        <v>368</v>
      </c>
      <c r="U196" s="13" t="s">
        <v>383</v>
      </c>
      <c r="V196" s="13" t="s">
        <v>371</v>
      </c>
      <c r="W196" s="13" t="s">
        <v>309</v>
      </c>
      <c r="X196" s="13">
        <v>6176383634</v>
      </c>
      <c r="Y196" s="13">
        <v>21</v>
      </c>
      <c r="Z196" s="13" t="s">
        <v>298</v>
      </c>
      <c r="AA196" s="13" t="s">
        <v>369</v>
      </c>
      <c r="AB196" s="14">
        <v>45105</v>
      </c>
      <c r="AC196" s="13">
        <v>3731.55</v>
      </c>
      <c r="AD196" s="13" t="s">
        <v>317</v>
      </c>
      <c r="AE196" s="13" t="s">
        <v>363</v>
      </c>
    </row>
    <row r="197" spans="1:31" x14ac:dyDescent="0.3">
      <c r="A197" s="16" t="s">
        <v>262</v>
      </c>
      <c r="B197" s="16" t="s">
        <v>21</v>
      </c>
      <c r="C197" s="16" t="s">
        <v>15</v>
      </c>
      <c r="D197" s="17">
        <v>45225</v>
      </c>
      <c r="E197" s="18">
        <v>0.40625</v>
      </c>
      <c r="F197" s="16" t="s">
        <v>22</v>
      </c>
      <c r="G197" s="16" t="s">
        <v>12</v>
      </c>
      <c r="H197" s="16" t="s">
        <v>342</v>
      </c>
      <c r="I197" s="16" t="s">
        <v>354</v>
      </c>
      <c r="J197" s="16">
        <v>2477.8000000000002</v>
      </c>
      <c r="K197" s="17">
        <v>45225</v>
      </c>
      <c r="L197" s="16" t="s">
        <v>383</v>
      </c>
      <c r="M197" s="16" t="s">
        <v>366</v>
      </c>
      <c r="N197" s="16" t="s">
        <v>481</v>
      </c>
      <c r="O197" s="17">
        <v>24222</v>
      </c>
      <c r="P197" s="16">
        <v>7579616535</v>
      </c>
      <c r="Q197" s="16" t="s">
        <v>347</v>
      </c>
      <c r="R197" s="17">
        <v>44219</v>
      </c>
      <c r="S197" s="16" t="s">
        <v>358</v>
      </c>
      <c r="T197" s="16" t="s">
        <v>384</v>
      </c>
      <c r="U197" s="16" t="s">
        <v>344</v>
      </c>
      <c r="V197" s="16" t="s">
        <v>374</v>
      </c>
      <c r="W197" s="16" t="s">
        <v>310</v>
      </c>
      <c r="X197" s="16">
        <v>6570137231</v>
      </c>
      <c r="Y197" s="16">
        <v>23</v>
      </c>
      <c r="Z197" s="16" t="s">
        <v>297</v>
      </c>
      <c r="AA197" s="16" t="s">
        <v>385</v>
      </c>
      <c r="AB197" s="17">
        <v>45096</v>
      </c>
      <c r="AC197" s="16">
        <v>1381</v>
      </c>
      <c r="AD197" s="16" t="s">
        <v>317</v>
      </c>
      <c r="AE197" s="16" t="s">
        <v>352</v>
      </c>
    </row>
    <row r="198" spans="1:31" x14ac:dyDescent="0.3">
      <c r="A198" s="13" t="s">
        <v>263</v>
      </c>
      <c r="B198" s="13" t="s">
        <v>24</v>
      </c>
      <c r="C198" s="13" t="s">
        <v>67</v>
      </c>
      <c r="D198" s="14">
        <v>45017</v>
      </c>
      <c r="E198" s="15">
        <v>0.5625</v>
      </c>
      <c r="F198" s="13" t="s">
        <v>19</v>
      </c>
      <c r="G198" s="13" t="s">
        <v>8</v>
      </c>
      <c r="H198" s="13" t="s">
        <v>389</v>
      </c>
      <c r="I198" s="13" t="s">
        <v>364</v>
      </c>
      <c r="J198" s="13">
        <v>975.49</v>
      </c>
      <c r="K198" s="14">
        <v>45017</v>
      </c>
      <c r="L198" s="13" t="s">
        <v>360</v>
      </c>
      <c r="M198" s="13" t="s">
        <v>378</v>
      </c>
      <c r="N198" s="13" t="s">
        <v>481</v>
      </c>
      <c r="O198" s="14">
        <v>20244</v>
      </c>
      <c r="P198" s="13">
        <v>6939585183</v>
      </c>
      <c r="Q198" s="13" t="s">
        <v>386</v>
      </c>
      <c r="R198" s="14">
        <v>44735</v>
      </c>
      <c r="S198" s="13" t="s">
        <v>348</v>
      </c>
      <c r="T198" s="13" t="s">
        <v>387</v>
      </c>
      <c r="U198" s="13" t="s">
        <v>350</v>
      </c>
      <c r="V198" s="13" t="s">
        <v>391</v>
      </c>
      <c r="W198" s="13" t="s">
        <v>308</v>
      </c>
      <c r="X198" s="13">
        <v>9118538547</v>
      </c>
      <c r="Y198" s="13">
        <v>26</v>
      </c>
      <c r="Z198" s="13" t="s">
        <v>297</v>
      </c>
      <c r="AA198" s="13" t="s">
        <v>388</v>
      </c>
      <c r="AB198" s="14">
        <v>45025</v>
      </c>
      <c r="AC198" s="13">
        <v>534.03</v>
      </c>
      <c r="AD198" s="13" t="s">
        <v>311</v>
      </c>
      <c r="AE198" s="13" t="s">
        <v>376</v>
      </c>
    </row>
    <row r="199" spans="1:31" x14ac:dyDescent="0.3">
      <c r="A199" s="16" t="s">
        <v>264</v>
      </c>
      <c r="B199" s="16" t="s">
        <v>36</v>
      </c>
      <c r="C199" s="16" t="s">
        <v>15</v>
      </c>
      <c r="D199" s="17">
        <v>45061</v>
      </c>
      <c r="E199" s="18">
        <v>0.35416666666666669</v>
      </c>
      <c r="F199" s="16" t="s">
        <v>3</v>
      </c>
      <c r="G199" s="16" t="s">
        <v>8</v>
      </c>
      <c r="H199" s="16" t="s">
        <v>377</v>
      </c>
      <c r="I199" s="16" t="s">
        <v>343</v>
      </c>
      <c r="J199" s="16">
        <v>3383.72</v>
      </c>
      <c r="K199" s="17">
        <v>45061</v>
      </c>
      <c r="L199" s="16" t="s">
        <v>398</v>
      </c>
      <c r="M199" s="16" t="s">
        <v>399</v>
      </c>
      <c r="N199" s="16" t="s">
        <v>482</v>
      </c>
      <c r="O199" s="17">
        <v>20219</v>
      </c>
      <c r="P199" s="16">
        <v>6221099573</v>
      </c>
      <c r="Q199" s="16" t="s">
        <v>347</v>
      </c>
      <c r="R199" s="17">
        <v>44327</v>
      </c>
      <c r="S199" s="16" t="s">
        <v>358</v>
      </c>
      <c r="T199" s="16" t="s">
        <v>400</v>
      </c>
      <c r="U199" s="16" t="s">
        <v>344</v>
      </c>
      <c r="V199" s="16" t="s">
        <v>374</v>
      </c>
      <c r="W199" s="16" t="s">
        <v>310</v>
      </c>
      <c r="X199" s="16">
        <v>6570137231</v>
      </c>
      <c r="Y199" s="16">
        <v>23</v>
      </c>
      <c r="Z199" s="16" t="s">
        <v>297</v>
      </c>
      <c r="AA199" s="16" t="s">
        <v>401</v>
      </c>
      <c r="AB199" s="17">
        <v>45242</v>
      </c>
      <c r="AC199" s="16">
        <v>4671.66</v>
      </c>
      <c r="AD199" s="16" t="s">
        <v>311</v>
      </c>
      <c r="AE199" s="16" t="s">
        <v>376</v>
      </c>
    </row>
    <row r="200" spans="1:31" x14ac:dyDescent="0.3">
      <c r="A200" s="13" t="s">
        <v>265</v>
      </c>
      <c r="B200" s="13" t="s">
        <v>144</v>
      </c>
      <c r="C200" s="13" t="s">
        <v>52</v>
      </c>
      <c r="D200" s="14">
        <v>45047</v>
      </c>
      <c r="E200" s="15">
        <v>0.53125</v>
      </c>
      <c r="F200" s="13" t="s">
        <v>31</v>
      </c>
      <c r="G200" s="13" t="s">
        <v>34</v>
      </c>
      <c r="H200" s="13" t="s">
        <v>342</v>
      </c>
      <c r="I200" s="13" t="s">
        <v>343</v>
      </c>
      <c r="J200" s="13">
        <v>1472.17</v>
      </c>
      <c r="K200" s="14">
        <v>45047</v>
      </c>
      <c r="L200" s="13" t="s">
        <v>381</v>
      </c>
      <c r="M200" s="13" t="s">
        <v>361</v>
      </c>
      <c r="N200" s="13" t="s">
        <v>482</v>
      </c>
      <c r="O200" s="14">
        <v>33359</v>
      </c>
      <c r="P200" s="13">
        <v>6158428240</v>
      </c>
      <c r="Q200" s="13" t="s">
        <v>379</v>
      </c>
      <c r="R200" s="14">
        <v>44830</v>
      </c>
      <c r="S200" s="13" t="s">
        <v>348</v>
      </c>
      <c r="T200" s="13" t="s">
        <v>461</v>
      </c>
      <c r="U200" s="13" t="s">
        <v>360</v>
      </c>
      <c r="V200" s="13" t="s">
        <v>391</v>
      </c>
      <c r="W200" s="13" t="s">
        <v>308</v>
      </c>
      <c r="X200" s="13">
        <v>8322010158</v>
      </c>
      <c r="Y200" s="13">
        <v>17</v>
      </c>
      <c r="Z200" s="13" t="s">
        <v>299</v>
      </c>
      <c r="AA200" s="13" t="s">
        <v>462</v>
      </c>
      <c r="AB200" s="14">
        <v>45228</v>
      </c>
      <c r="AC200" s="13">
        <v>3759.52</v>
      </c>
      <c r="AD200" s="13" t="s">
        <v>311</v>
      </c>
      <c r="AE200" s="13" t="s">
        <v>352</v>
      </c>
    </row>
    <row r="201" spans="1:31" x14ac:dyDescent="0.3">
      <c r="A201" s="16" t="s">
        <v>266</v>
      </c>
      <c r="B201" s="16" t="s">
        <v>156</v>
      </c>
      <c r="C201" s="16" t="s">
        <v>67</v>
      </c>
      <c r="D201" s="17">
        <v>45290</v>
      </c>
      <c r="E201" s="18">
        <v>0.42708333333333331</v>
      </c>
      <c r="F201" s="16" t="s">
        <v>11</v>
      </c>
      <c r="G201" s="16" t="s">
        <v>12</v>
      </c>
      <c r="H201" s="16" t="s">
        <v>413</v>
      </c>
      <c r="I201" s="16" t="s">
        <v>343</v>
      </c>
      <c r="J201" s="16">
        <v>3288.15</v>
      </c>
      <c r="K201" s="17">
        <v>45290</v>
      </c>
      <c r="L201" s="16" t="s">
        <v>344</v>
      </c>
      <c r="M201" s="16" t="s">
        <v>432</v>
      </c>
      <c r="N201" s="16" t="s">
        <v>481</v>
      </c>
      <c r="O201" s="17">
        <v>32667</v>
      </c>
      <c r="P201" s="16">
        <v>6278710077</v>
      </c>
      <c r="Q201" s="16" t="s">
        <v>386</v>
      </c>
      <c r="R201" s="17">
        <v>44555</v>
      </c>
      <c r="S201" s="16" t="s">
        <v>358</v>
      </c>
      <c r="T201" s="16" t="s">
        <v>467</v>
      </c>
      <c r="U201" s="16" t="s">
        <v>350</v>
      </c>
      <c r="V201" s="16" t="s">
        <v>391</v>
      </c>
      <c r="W201" s="16" t="s">
        <v>308</v>
      </c>
      <c r="X201" s="16">
        <v>9118538547</v>
      </c>
      <c r="Y201" s="16">
        <v>26</v>
      </c>
      <c r="Z201" s="16" t="s">
        <v>297</v>
      </c>
      <c r="AA201" s="16" t="s">
        <v>468</v>
      </c>
      <c r="AB201" s="17">
        <v>45055</v>
      </c>
      <c r="AC201" s="16">
        <v>2097.48</v>
      </c>
      <c r="AD201" s="16" t="s">
        <v>311</v>
      </c>
      <c r="AE201" s="16" t="s">
        <v>376</v>
      </c>
    </row>
  </sheetData>
  <mergeCells count="3">
    <mergeCell ref="AG3:AH3"/>
    <mergeCell ref="AJ3:AK3"/>
    <mergeCell ref="AG9:AH9"/>
  </mergeCells>
  <conditionalFormatting sqref="AH4:AH6">
    <cfRule type="dataBar" priority="3">
      <dataBar>
        <cfvo type="min"/>
        <cfvo type="max"/>
        <color rgb="FF63C384"/>
      </dataBar>
      <extLst>
        <ext xmlns:x14="http://schemas.microsoft.com/office/spreadsheetml/2009/9/main" uri="{B025F937-C7B1-47D3-B67F-A62EFF666E3E}">
          <x14:id>{AC72DCD2-C9B9-443A-B594-944D8C1BC944}</x14:id>
        </ext>
      </extLst>
    </cfRule>
  </conditionalFormatting>
  <conditionalFormatting sqref="AH10:AH12">
    <cfRule type="dataBar" priority="1">
      <dataBar>
        <cfvo type="min"/>
        <cfvo type="max"/>
        <color rgb="FF638EC6"/>
      </dataBar>
      <extLst>
        <ext xmlns:x14="http://schemas.microsoft.com/office/spreadsheetml/2009/9/main" uri="{B025F937-C7B1-47D3-B67F-A62EFF666E3E}">
          <x14:id>{0A22F96B-A41A-4DAA-BA16-89E1629B361A}</x14:id>
        </ext>
      </extLst>
    </cfRule>
  </conditionalFormatting>
  <conditionalFormatting sqref="AK4:AK6">
    <cfRule type="colorScale" priority="2">
      <colorScale>
        <cfvo type="min"/>
        <cfvo type="max"/>
        <color rgb="FFFFEF9C"/>
        <color rgb="FF63BE7B"/>
      </colorScale>
    </cfRule>
  </conditionalFormatting>
  <pageMargins left="0.7" right="0.7" top="0.75" bottom="0.75" header="0.3" footer="0.3"/>
  <ignoredErrors>
    <ignoredError sqref="AK5:AK6" formulaRange="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C72DCD2-C9B9-443A-B594-944D8C1BC944}">
            <x14:dataBar minLength="0" maxLength="100" border="1" negativeBarBorderColorSameAsPositive="0">
              <x14:cfvo type="autoMin"/>
              <x14:cfvo type="autoMax"/>
              <x14:borderColor rgb="FF63C384"/>
              <x14:negativeFillColor rgb="FFFF0000"/>
              <x14:negativeBorderColor rgb="FFFF0000"/>
              <x14:axisColor rgb="FF000000"/>
            </x14:dataBar>
          </x14:cfRule>
          <xm:sqref>AH4:AH6</xm:sqref>
        </x14:conditionalFormatting>
        <x14:conditionalFormatting xmlns:xm="http://schemas.microsoft.com/office/excel/2006/main">
          <x14:cfRule type="dataBar" id="{0A22F96B-A41A-4DAA-BA16-89E1629B361A}">
            <x14:dataBar minLength="0" maxLength="100" border="1" negativeBarBorderColorSameAsPositive="0">
              <x14:cfvo type="autoMin"/>
              <x14:cfvo type="autoMax"/>
              <x14:borderColor rgb="FF638EC6"/>
              <x14:negativeFillColor rgb="FFFF0000"/>
              <x14:negativeBorderColor rgb="FFFF0000"/>
              <x14:axisColor rgb="FF000000"/>
            </x14:dataBar>
          </x14:cfRule>
          <xm:sqref>AH10:AH12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3014-F9C1-41DC-B773-C983B55959BD}">
  <dimension ref="A2:N18"/>
  <sheetViews>
    <sheetView topLeftCell="E18" zoomScale="79" workbookViewId="0">
      <selection activeCell="F29" sqref="F29"/>
    </sheetView>
  </sheetViews>
  <sheetFormatPr defaultRowHeight="14.4" x14ac:dyDescent="0.3"/>
  <cols>
    <col min="1" max="1" width="15" bestFit="1" customWidth="1"/>
    <col min="2" max="2" width="14.5546875" bestFit="1" customWidth="1"/>
    <col min="3" max="3" width="14.21875" customWidth="1"/>
    <col min="4" max="4" width="12.5546875" bestFit="1" customWidth="1"/>
    <col min="5" max="5" width="23" bestFit="1" customWidth="1"/>
    <col min="6" max="6" width="10.33203125" bestFit="1" customWidth="1"/>
    <col min="7" max="7" width="9.21875" bestFit="1" customWidth="1"/>
    <col min="8" max="8" width="10.77734375" bestFit="1" customWidth="1"/>
    <col min="10" max="10" width="23.5546875" bestFit="1" customWidth="1"/>
    <col min="11" max="11" width="16.5546875" bestFit="1" customWidth="1"/>
    <col min="12" max="12" width="13.44140625" bestFit="1" customWidth="1"/>
    <col min="13" max="13" width="14.5546875" bestFit="1" customWidth="1"/>
    <col min="14" max="14" width="11.109375" bestFit="1" customWidth="1"/>
  </cols>
  <sheetData>
    <row r="2" spans="1:14" x14ac:dyDescent="0.3">
      <c r="J2" t="s">
        <v>306</v>
      </c>
      <c r="K2" s="3">
        <f>GETPIVOTDATA("Appointment_Id",$D$6)</f>
        <v>200</v>
      </c>
    </row>
    <row r="3" spans="1:14" x14ac:dyDescent="0.3">
      <c r="A3" s="4" t="s">
        <v>296</v>
      </c>
      <c r="B3" t="s">
        <v>301</v>
      </c>
      <c r="J3" t="s">
        <v>307</v>
      </c>
      <c r="K3" s="6">
        <f>GETPIVOTDATA("Amount",$A$3)</f>
        <v>522420.06999999983</v>
      </c>
    </row>
    <row r="4" spans="1:14" x14ac:dyDescent="0.3">
      <c r="A4" s="5" t="s">
        <v>297</v>
      </c>
      <c r="B4" s="3">
        <v>204578.95999999988</v>
      </c>
    </row>
    <row r="5" spans="1:14" x14ac:dyDescent="0.3">
      <c r="A5" s="5" t="s">
        <v>298</v>
      </c>
      <c r="B5" s="3">
        <v>164838.9</v>
      </c>
    </row>
    <row r="6" spans="1:14" x14ac:dyDescent="0.3">
      <c r="A6" s="5" t="s">
        <v>299</v>
      </c>
      <c r="B6" s="3">
        <v>153002.21</v>
      </c>
      <c r="D6" s="4" t="s">
        <v>303</v>
      </c>
      <c r="E6" s="4" t="s">
        <v>302</v>
      </c>
    </row>
    <row r="7" spans="1:14" x14ac:dyDescent="0.3">
      <c r="A7" s="5" t="s">
        <v>300</v>
      </c>
      <c r="B7" s="3">
        <v>522420.06999999983</v>
      </c>
      <c r="D7" s="4" t="s">
        <v>296</v>
      </c>
      <c r="E7" t="s">
        <v>311</v>
      </c>
      <c r="F7" t="s">
        <v>316</v>
      </c>
      <c r="G7" t="s">
        <v>317</v>
      </c>
      <c r="H7" t="s">
        <v>300</v>
      </c>
      <c r="J7" s="4" t="s">
        <v>303</v>
      </c>
      <c r="K7" s="4" t="s">
        <v>302</v>
      </c>
    </row>
    <row r="8" spans="1:14" x14ac:dyDescent="0.3">
      <c r="D8" s="5" t="s">
        <v>12</v>
      </c>
      <c r="E8" s="29">
        <v>18</v>
      </c>
      <c r="F8" s="29">
        <v>17</v>
      </c>
      <c r="G8" s="29">
        <v>16</v>
      </c>
      <c r="H8" s="29">
        <v>51</v>
      </c>
      <c r="J8" s="4" t="s">
        <v>296</v>
      </c>
      <c r="K8" t="s">
        <v>297</v>
      </c>
      <c r="L8" t="s">
        <v>298</v>
      </c>
      <c r="M8" t="s">
        <v>299</v>
      </c>
      <c r="N8" t="s">
        <v>300</v>
      </c>
    </row>
    <row r="9" spans="1:14" x14ac:dyDescent="0.3">
      <c r="D9" s="5" t="s">
        <v>34</v>
      </c>
      <c r="E9" s="29">
        <v>15</v>
      </c>
      <c r="F9" s="29">
        <v>14</v>
      </c>
      <c r="G9" s="29">
        <v>17</v>
      </c>
      <c r="H9" s="29">
        <v>46</v>
      </c>
      <c r="J9" s="5" t="s">
        <v>308</v>
      </c>
      <c r="K9" s="29">
        <v>29</v>
      </c>
      <c r="L9" s="29"/>
      <c r="M9" s="29">
        <v>41</v>
      </c>
      <c r="N9" s="29">
        <v>70</v>
      </c>
    </row>
    <row r="10" spans="1:14" x14ac:dyDescent="0.3">
      <c r="D10" s="5" t="s">
        <v>8</v>
      </c>
      <c r="E10" s="29">
        <v>23</v>
      </c>
      <c r="F10" s="29">
        <v>11</v>
      </c>
      <c r="G10" s="29">
        <v>18</v>
      </c>
      <c r="H10" s="29">
        <v>52</v>
      </c>
      <c r="J10" s="5" t="s">
        <v>309</v>
      </c>
      <c r="K10" s="29"/>
      <c r="L10" s="29">
        <v>19</v>
      </c>
      <c r="M10" s="29">
        <v>13</v>
      </c>
      <c r="N10" s="29">
        <v>32</v>
      </c>
    </row>
    <row r="11" spans="1:14" x14ac:dyDescent="0.3">
      <c r="D11" s="5" t="s">
        <v>4</v>
      </c>
      <c r="E11" s="29">
        <v>25</v>
      </c>
      <c r="F11" s="29">
        <v>8</v>
      </c>
      <c r="G11" s="29">
        <v>18</v>
      </c>
      <c r="H11" s="29">
        <v>51</v>
      </c>
      <c r="J11" s="5" t="s">
        <v>310</v>
      </c>
      <c r="K11" s="29">
        <v>55</v>
      </c>
      <c r="L11" s="29">
        <v>43</v>
      </c>
      <c r="M11" s="29"/>
      <c r="N11" s="29">
        <v>98</v>
      </c>
    </row>
    <row r="12" spans="1:14" x14ac:dyDescent="0.3">
      <c r="D12" s="5" t="s">
        <v>300</v>
      </c>
      <c r="E12" s="29">
        <v>81</v>
      </c>
      <c r="F12" s="29">
        <v>50</v>
      </c>
      <c r="G12" s="29">
        <v>69</v>
      </c>
      <c r="H12" s="29">
        <v>200</v>
      </c>
      <c r="J12" s="5" t="s">
        <v>300</v>
      </c>
      <c r="K12" s="29">
        <v>84</v>
      </c>
      <c r="L12" s="29">
        <v>62</v>
      </c>
      <c r="M12" s="29">
        <v>54</v>
      </c>
      <c r="N12" s="29">
        <v>200</v>
      </c>
    </row>
    <row r="13" spans="1:14" x14ac:dyDescent="0.3">
      <c r="A13" s="4" t="s">
        <v>304</v>
      </c>
      <c r="B13" s="4" t="s">
        <v>302</v>
      </c>
    </row>
    <row r="14" spans="1:14" x14ac:dyDescent="0.3">
      <c r="A14" s="4" t="s">
        <v>296</v>
      </c>
      <c r="B14" t="s">
        <v>297</v>
      </c>
      <c r="C14" t="s">
        <v>298</v>
      </c>
      <c r="D14" t="s">
        <v>299</v>
      </c>
      <c r="E14" t="s">
        <v>300</v>
      </c>
    </row>
    <row r="15" spans="1:14" x14ac:dyDescent="0.3">
      <c r="A15" s="5" t="s">
        <v>308</v>
      </c>
      <c r="B15" s="3">
        <v>82696.479999999996</v>
      </c>
      <c r="C15" s="3"/>
      <c r="D15" s="3">
        <v>120012.81</v>
      </c>
      <c r="E15" s="3">
        <v>202709.28999999998</v>
      </c>
    </row>
    <row r="16" spans="1:14" x14ac:dyDescent="0.3">
      <c r="A16" s="5" t="s">
        <v>309</v>
      </c>
      <c r="B16" s="3"/>
      <c r="C16" s="3">
        <v>49436.23</v>
      </c>
      <c r="D16" s="3">
        <v>40166.5</v>
      </c>
      <c r="E16" s="3">
        <v>89602.73000000001</v>
      </c>
    </row>
    <row r="17" spans="1:5" x14ac:dyDescent="0.3">
      <c r="A17" s="5" t="s">
        <v>310</v>
      </c>
      <c r="B17" s="3">
        <v>146342.95999999996</v>
      </c>
      <c r="C17" s="3">
        <v>112594.87</v>
      </c>
      <c r="D17" s="3"/>
      <c r="E17" s="3">
        <v>258937.82999999996</v>
      </c>
    </row>
    <row r="18" spans="1:5" x14ac:dyDescent="0.3">
      <c r="A18" s="5" t="s">
        <v>300</v>
      </c>
      <c r="B18" s="3">
        <v>229039.43999999994</v>
      </c>
      <c r="C18" s="3">
        <v>162031.1</v>
      </c>
      <c r="D18" s="3">
        <v>160179.31</v>
      </c>
      <c r="E18" s="3">
        <v>551249.85</v>
      </c>
    </row>
  </sheetData>
  <pageMargins left="0.7" right="0.7" top="0.75" bottom="0.75" header="0.3" footer="0.3"/>
  <drawing r:id="rId5"/>
  <extLst>
    <ext xmlns:x14="http://schemas.microsoft.com/office/spreadsheetml/2009/9/main" uri="{05C60535-1F16-4fd2-B633-F4F36F0B64E0}">
      <x14:sparklineGroups xmlns:xm="http://schemas.microsoft.com/office/excel/2006/main">
        <x14:sparklineGroup manualMax="0" manualMin="0" displayEmptyCellsAs="gap" xr2:uid="{9FB81A91-70FB-4E36-9053-FEE09A9BEED3}">
          <x14:colorSeries rgb="FF000000"/>
          <x14:colorNegative rgb="FF0070C0"/>
          <x14:colorAxis rgb="FF000000"/>
          <x14:colorMarkers rgb="FF0070C0"/>
          <x14:colorFirst rgb="FF0070C0"/>
          <x14:colorLast rgb="FF0070C0"/>
          <x14:colorHigh rgb="FF0070C0"/>
          <x14:colorLow rgb="FF0070C0"/>
          <x14:sparklines>
            <x14:sparkline>
              <xm:sqref>M3</xm:sqref>
            </x14:sparkline>
          </x14:sparklines>
        </x14:sparklineGroup>
        <x14:sparklineGroup manualMax="0" manualMin="0" type="column" displayEmptyCellsAs="gap" xr2:uid="{0C353088-EA67-4A0E-96E8-13707C6B9C6B}">
          <x14:colorSeries rgb="FF323232"/>
          <x14:colorNegative rgb="FFD00000"/>
          <x14:colorAxis rgb="FF000000"/>
          <x14:colorMarkers rgb="FFD00000"/>
          <x14:colorFirst rgb="FFD00000"/>
          <x14:colorLast rgb="FFD00000"/>
          <x14:colorHigh rgb="FFD00000"/>
          <x14:colorLow rgb="FFD00000"/>
          <x14:sparklines>
            <x14:sparkline>
              <xm:f>pivot!K8:K19</xm:f>
              <xm:sqref>M2</xm:sqref>
            </x14:sparkline>
          </x14:sparklines>
        </x14:sparklineGroup>
        <x14:sparklineGroup manualMax="0" manualMin="0" displayEmptyCellsAs="gap" xr2:uid="{D6D9545A-4621-4844-8D2E-44E7DC8AE653}">
          <x14:colorSeries rgb="FF000000"/>
          <x14:colorNegative rgb="FF0070C0"/>
          <x14:colorAxis rgb="FF000000"/>
          <x14:colorMarkers rgb="FF0070C0"/>
          <x14:colorFirst rgb="FF0070C0"/>
          <x14:colorLast rgb="FF0070C0"/>
          <x14:colorHigh rgb="FF0070C0"/>
          <x14:colorLow rgb="FF0070C0"/>
          <x14:sparklines>
            <x14:sparkline>
              <xm:f>pivot!E12:G12</xm:f>
              <xm:sqref>H19</xm:sqref>
            </x14:sparkline>
          </x14:sparklines>
        </x14:sparklineGroup>
      </x14:sparklineGroups>
    </ex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5B4F6-22FF-4B34-8105-2672330556A1}">
  <dimension ref="A1:M26"/>
  <sheetViews>
    <sheetView tabSelected="1" topLeftCell="A4" workbookViewId="0">
      <selection activeCell="I21" sqref="I21"/>
    </sheetView>
  </sheetViews>
  <sheetFormatPr defaultRowHeight="14.4" x14ac:dyDescent="0.3"/>
  <cols>
    <col min="1" max="1" width="6.21875" customWidth="1"/>
    <col min="8" max="8" width="34.77734375" customWidth="1"/>
    <col min="9" max="9" width="6" customWidth="1"/>
    <col min="10" max="10" width="14" customWidth="1"/>
    <col min="11" max="11" width="13.6640625" bestFit="1" customWidth="1"/>
    <col min="12" max="12" width="11.88671875" bestFit="1" customWidth="1"/>
    <col min="14" max="14" width="13.6640625" bestFit="1" customWidth="1"/>
    <col min="15" max="15" width="11.88671875" bestFit="1" customWidth="1"/>
  </cols>
  <sheetData>
    <row r="1" spans="1:13" ht="24" customHeight="1" x14ac:dyDescent="0.3">
      <c r="A1" s="27" t="s">
        <v>335</v>
      </c>
      <c r="B1" s="27"/>
      <c r="C1" s="27"/>
      <c r="D1" s="27"/>
      <c r="E1" s="27"/>
      <c r="F1" s="27"/>
      <c r="G1" s="27"/>
      <c r="H1" s="27" t="s">
        <v>312</v>
      </c>
      <c r="I1" s="27"/>
      <c r="J1" s="27"/>
      <c r="K1" s="27"/>
      <c r="L1" s="27"/>
    </row>
    <row r="2" spans="1:13" ht="21" customHeight="1" x14ac:dyDescent="0.3">
      <c r="A2" s="10">
        <v>1</v>
      </c>
      <c r="B2" s="25" t="s">
        <v>336</v>
      </c>
      <c r="C2" s="25"/>
      <c r="D2" s="25"/>
      <c r="E2" s="25"/>
      <c r="F2" s="25"/>
      <c r="G2" s="25"/>
      <c r="H2" s="25"/>
      <c r="J2" s="23" t="s">
        <v>313</v>
      </c>
      <c r="K2" s="9">
        <v>204578</v>
      </c>
    </row>
    <row r="3" spans="1:13" x14ac:dyDescent="0.3">
      <c r="A3" s="10"/>
      <c r="B3" s="10"/>
      <c r="C3" s="10"/>
      <c r="D3" s="10"/>
      <c r="E3" s="10"/>
      <c r="F3" s="10"/>
      <c r="G3" s="10"/>
      <c r="H3" s="10"/>
      <c r="J3" s="23" t="s">
        <v>337</v>
      </c>
      <c r="K3" s="9">
        <v>164838</v>
      </c>
    </row>
    <row r="4" spans="1:13" x14ac:dyDescent="0.3">
      <c r="A4" s="10"/>
      <c r="B4" s="10"/>
      <c r="C4" s="10"/>
      <c r="D4" s="10"/>
      <c r="E4" s="10"/>
      <c r="F4" s="10"/>
      <c r="G4" s="10"/>
      <c r="H4" s="10"/>
      <c r="J4" s="23" t="s">
        <v>315</v>
      </c>
      <c r="K4" s="9">
        <v>153002</v>
      </c>
    </row>
    <row r="5" spans="1:13" x14ac:dyDescent="0.3">
      <c r="A5" s="10"/>
      <c r="B5" s="10"/>
      <c r="C5" s="10"/>
      <c r="D5" s="10"/>
      <c r="E5" s="10"/>
      <c r="F5" s="10"/>
      <c r="G5" s="10"/>
      <c r="H5" s="10"/>
      <c r="I5" s="10"/>
      <c r="J5" s="10"/>
      <c r="K5" s="10"/>
      <c r="L5" s="10"/>
    </row>
    <row r="6" spans="1:13" ht="24.6" customHeight="1" x14ac:dyDescent="0.3">
      <c r="A6" s="7">
        <v>2</v>
      </c>
      <c r="B6" s="25" t="s">
        <v>338</v>
      </c>
      <c r="C6" s="25"/>
      <c r="D6" s="25"/>
      <c r="E6" s="25"/>
      <c r="F6" s="25"/>
      <c r="G6" s="25"/>
      <c r="H6" s="25"/>
      <c r="J6" s="8">
        <v>2</v>
      </c>
      <c r="K6" s="21" t="s">
        <v>319</v>
      </c>
      <c r="L6" s="21" t="s">
        <v>320</v>
      </c>
      <c r="M6" s="21" t="s">
        <v>321</v>
      </c>
    </row>
    <row r="7" spans="1:13" x14ac:dyDescent="0.3">
      <c r="A7" s="10"/>
      <c r="B7" s="10"/>
      <c r="C7" s="10"/>
      <c r="D7" s="10"/>
      <c r="E7" s="10"/>
      <c r="F7" s="10"/>
      <c r="G7" s="10"/>
      <c r="H7" s="10"/>
      <c r="J7" s="22" t="s">
        <v>318</v>
      </c>
      <c r="K7" s="8">
        <v>18</v>
      </c>
      <c r="L7" s="8">
        <v>17</v>
      </c>
      <c r="M7" s="8">
        <v>16</v>
      </c>
    </row>
    <row r="8" spans="1:13" x14ac:dyDescent="0.3">
      <c r="A8" s="10"/>
      <c r="B8" s="10"/>
      <c r="C8" s="10"/>
      <c r="D8" s="10"/>
      <c r="E8" s="10"/>
      <c r="F8" s="10"/>
      <c r="G8" s="10"/>
      <c r="H8" s="10"/>
      <c r="J8" s="22" t="s">
        <v>322</v>
      </c>
      <c r="K8" s="8">
        <v>15</v>
      </c>
      <c r="L8" s="8">
        <v>14</v>
      </c>
      <c r="M8" s="8">
        <v>17</v>
      </c>
    </row>
    <row r="9" spans="1:13" x14ac:dyDescent="0.3">
      <c r="A9" s="10"/>
      <c r="B9" s="10"/>
      <c r="C9" s="10"/>
      <c r="D9" s="10"/>
      <c r="E9" s="10"/>
      <c r="F9" s="10"/>
      <c r="G9" s="10"/>
      <c r="H9" s="10"/>
      <c r="J9" s="22" t="s">
        <v>323</v>
      </c>
      <c r="K9" s="8">
        <v>23</v>
      </c>
      <c r="L9" s="8">
        <v>11</v>
      </c>
      <c r="M9" s="8">
        <v>18</v>
      </c>
    </row>
    <row r="10" spans="1:13" x14ac:dyDescent="0.3">
      <c r="A10" s="10"/>
      <c r="B10" s="10"/>
      <c r="C10" s="10"/>
      <c r="D10" s="10"/>
      <c r="E10" s="10"/>
      <c r="F10" s="10"/>
      <c r="G10" s="10"/>
      <c r="H10" s="10"/>
      <c r="J10" s="22" t="s">
        <v>324</v>
      </c>
      <c r="K10" s="8">
        <v>25</v>
      </c>
      <c r="L10" s="8">
        <v>8</v>
      </c>
      <c r="M10" s="8">
        <v>18</v>
      </c>
    </row>
    <row r="12" spans="1:13" x14ac:dyDescent="0.3">
      <c r="A12">
        <v>3</v>
      </c>
      <c r="B12" s="25" t="s">
        <v>339</v>
      </c>
      <c r="C12" s="25"/>
      <c r="D12" s="25"/>
      <c r="E12" s="25"/>
      <c r="F12" s="25"/>
      <c r="G12" s="25"/>
      <c r="H12" s="25"/>
      <c r="J12" s="8">
        <v>3</v>
      </c>
      <c r="K12" s="21" t="s">
        <v>329</v>
      </c>
      <c r="L12" s="21" t="s">
        <v>330</v>
      </c>
      <c r="M12" s="21" t="s">
        <v>331</v>
      </c>
    </row>
    <row r="13" spans="1:13" x14ac:dyDescent="0.3">
      <c r="J13" s="22" t="s">
        <v>325</v>
      </c>
      <c r="K13" s="8">
        <v>33099</v>
      </c>
      <c r="L13" s="8">
        <v>17191</v>
      </c>
      <c r="M13" s="8"/>
    </row>
    <row r="14" spans="1:13" x14ac:dyDescent="0.3">
      <c r="J14" s="22" t="s">
        <v>326</v>
      </c>
      <c r="K14" s="8">
        <v>65161</v>
      </c>
      <c r="L14" s="8">
        <v>72852</v>
      </c>
      <c r="M14" s="8">
        <v>92600</v>
      </c>
    </row>
    <row r="15" spans="1:13" x14ac:dyDescent="0.3">
      <c r="J15" s="22" t="s">
        <v>327</v>
      </c>
      <c r="K15" s="8">
        <v>34285</v>
      </c>
      <c r="L15" s="8">
        <v>31747</v>
      </c>
      <c r="M15" s="8">
        <v>50773</v>
      </c>
    </row>
    <row r="16" spans="1:13" x14ac:dyDescent="0.3">
      <c r="J16" s="22" t="s">
        <v>328</v>
      </c>
      <c r="K16" s="8">
        <v>33748</v>
      </c>
      <c r="L16" s="8">
        <v>45659</v>
      </c>
      <c r="M16" s="8">
        <v>45300</v>
      </c>
    </row>
    <row r="18" spans="1:13" x14ac:dyDescent="0.3">
      <c r="A18">
        <v>4</v>
      </c>
      <c r="B18" s="26" t="s">
        <v>340</v>
      </c>
      <c r="C18" s="26"/>
      <c r="D18" s="26"/>
      <c r="E18" s="26"/>
      <c r="F18" s="26"/>
      <c r="G18" s="26"/>
      <c r="H18" s="26"/>
      <c r="J18" s="22" t="s">
        <v>332</v>
      </c>
      <c r="K18" s="8">
        <v>2895</v>
      </c>
    </row>
    <row r="19" spans="1:13" x14ac:dyDescent="0.3">
      <c r="J19" s="22" t="s">
        <v>333</v>
      </c>
      <c r="K19" s="8">
        <v>2800</v>
      </c>
    </row>
    <row r="20" spans="1:13" x14ac:dyDescent="0.3">
      <c r="J20" s="22" t="s">
        <v>334</v>
      </c>
      <c r="K20" s="8">
        <v>2642</v>
      </c>
    </row>
    <row r="23" spans="1:13" ht="26.4" customHeight="1" x14ac:dyDescent="0.3">
      <c r="A23">
        <v>5</v>
      </c>
      <c r="B23" s="25" t="s">
        <v>341</v>
      </c>
      <c r="C23" s="25"/>
      <c r="D23" s="25"/>
      <c r="E23" s="25"/>
      <c r="F23" s="25"/>
      <c r="G23" s="25"/>
      <c r="H23" s="25"/>
      <c r="K23" s="21" t="s">
        <v>332</v>
      </c>
      <c r="L23" s="21" t="s">
        <v>333</v>
      </c>
      <c r="M23" s="21" t="s">
        <v>334</v>
      </c>
    </row>
    <row r="24" spans="1:13" x14ac:dyDescent="0.3">
      <c r="J24" s="22" t="s">
        <v>313</v>
      </c>
      <c r="K24" s="8">
        <v>29</v>
      </c>
      <c r="L24" s="8"/>
      <c r="M24" s="8">
        <v>55</v>
      </c>
    </row>
    <row r="25" spans="1:13" x14ac:dyDescent="0.3">
      <c r="J25" s="22" t="s">
        <v>314</v>
      </c>
      <c r="K25" s="8"/>
      <c r="L25" s="8">
        <v>19</v>
      </c>
      <c r="M25" s="8"/>
    </row>
    <row r="26" spans="1:13" x14ac:dyDescent="0.3">
      <c r="J26" s="22" t="s">
        <v>315</v>
      </c>
      <c r="K26" s="8">
        <v>41</v>
      </c>
      <c r="L26" s="8">
        <v>13</v>
      </c>
      <c r="M26" s="8">
        <v>43</v>
      </c>
    </row>
  </sheetData>
  <mergeCells count="7">
    <mergeCell ref="B12:H12"/>
    <mergeCell ref="B18:H18"/>
    <mergeCell ref="B23:H23"/>
    <mergeCell ref="A1:G1"/>
    <mergeCell ref="H1:L1"/>
    <mergeCell ref="B2:H2"/>
    <mergeCell ref="B6:H6"/>
  </mergeCells>
  <conditionalFormatting sqref="K2:K4">
    <cfRule type="dataBar" priority="7">
      <dataBar>
        <cfvo type="min"/>
        <cfvo type="max"/>
        <color rgb="FF63C384"/>
      </dataBar>
      <extLst>
        <ext xmlns:x14="http://schemas.microsoft.com/office/spreadsheetml/2009/9/main" uri="{B025F937-C7B1-47D3-B67F-A62EFF666E3E}">
          <x14:id>{C66A45D8-C334-49D8-9422-0BD1E5C996C5}</x14:id>
        </ext>
      </extLst>
    </cfRule>
  </conditionalFormatting>
  <conditionalFormatting sqref="K18:K20">
    <cfRule type="dataBar" priority="4">
      <dataBar>
        <cfvo type="min"/>
        <cfvo type="max"/>
        <color rgb="FFD6007B"/>
      </dataBar>
      <extLst>
        <ext xmlns:x14="http://schemas.microsoft.com/office/spreadsheetml/2009/9/main" uri="{B025F937-C7B1-47D3-B67F-A62EFF666E3E}">
          <x14:id>{02B3296F-6FCA-4613-A3B2-75CD5BBEC784}</x14:id>
        </ext>
      </extLst>
    </cfRule>
  </conditionalFormatting>
  <conditionalFormatting sqref="K7:M10">
    <cfRule type="dataBar" priority="1">
      <dataBar>
        <cfvo type="min"/>
        <cfvo type="max"/>
        <color rgb="FF638EC6"/>
      </dataBar>
      <extLst>
        <ext xmlns:x14="http://schemas.microsoft.com/office/spreadsheetml/2009/9/main" uri="{B025F937-C7B1-47D3-B67F-A62EFF666E3E}">
          <x14:id>{119862C9-7C43-4705-A943-3BA2C8EF19D3}</x14:id>
        </ext>
      </extLst>
    </cfRule>
    <cfRule type="colorScale" priority="6">
      <colorScale>
        <cfvo type="min"/>
        <cfvo type="max"/>
        <color rgb="FFFFEF9C"/>
        <color rgb="FF63BE7B"/>
      </colorScale>
    </cfRule>
  </conditionalFormatting>
  <conditionalFormatting sqref="K13:M16">
    <cfRule type="dataBar" priority="5">
      <dataBar>
        <cfvo type="min"/>
        <cfvo type="max"/>
        <color rgb="FFFF555A"/>
      </dataBar>
      <extLst>
        <ext xmlns:x14="http://schemas.microsoft.com/office/spreadsheetml/2009/9/main" uri="{B025F937-C7B1-47D3-B67F-A62EFF666E3E}">
          <x14:id>{6F1780FA-20FC-4DF4-A8C6-51CC04F73E68}</x14:id>
        </ext>
      </extLst>
    </cfRule>
  </conditionalFormatting>
  <conditionalFormatting sqref="K24:M26">
    <cfRule type="dataBar" priority="8">
      <dataBar>
        <cfvo type="min"/>
        <cfvo type="max"/>
        <color rgb="FFFFB628"/>
      </dataBar>
      <extLst>
        <ext xmlns:x14="http://schemas.microsoft.com/office/spreadsheetml/2009/9/main" uri="{B025F937-C7B1-47D3-B67F-A62EFF666E3E}">
          <x14:id>{CD24048C-641A-4303-9191-512E20D69932}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66A45D8-C334-49D8-9422-0BD1E5C996C5}">
            <x14:dataBar minLength="0" maxLength="100" border="1" negativeBarBorderColorSameAsPositive="0">
              <x14:cfvo type="autoMin"/>
              <x14:cfvo type="autoMax"/>
              <x14:borderColor rgb="FF63C384"/>
              <x14:negativeFillColor rgb="FFFF0000"/>
              <x14:negativeBorderColor rgb="FFFF0000"/>
              <x14:axisColor rgb="FF000000"/>
            </x14:dataBar>
          </x14:cfRule>
          <xm:sqref>K2:K4</xm:sqref>
        </x14:conditionalFormatting>
        <x14:conditionalFormatting xmlns:xm="http://schemas.microsoft.com/office/excel/2006/main">
          <x14:cfRule type="dataBar" id="{02B3296F-6FCA-4613-A3B2-75CD5BBEC784}">
            <x14:dataBar minLength="0" maxLength="100" border="1" negativeBarBorderColorSameAsPositive="0">
              <x14:cfvo type="autoMin"/>
              <x14:cfvo type="autoMax"/>
              <x14:borderColor rgb="FFD6007B"/>
              <x14:negativeFillColor rgb="FFFF0000"/>
              <x14:negativeBorderColor rgb="FFFF0000"/>
              <x14:axisColor rgb="FF000000"/>
            </x14:dataBar>
          </x14:cfRule>
          <xm:sqref>K18:K20</xm:sqref>
        </x14:conditionalFormatting>
        <x14:conditionalFormatting xmlns:xm="http://schemas.microsoft.com/office/excel/2006/main">
          <x14:cfRule type="dataBar" id="{119862C9-7C43-4705-A943-3BA2C8EF19D3}">
            <x14:dataBar minLength="0" maxLength="100" gradient="0">
              <x14:cfvo type="autoMin"/>
              <x14:cfvo type="autoMax"/>
              <x14:negativeFillColor rgb="FFFF0000"/>
              <x14:axisColor rgb="FF000000"/>
            </x14:dataBar>
          </x14:cfRule>
          <xm:sqref>K7:M10</xm:sqref>
        </x14:conditionalFormatting>
        <x14:conditionalFormatting xmlns:xm="http://schemas.microsoft.com/office/excel/2006/main">
          <x14:cfRule type="dataBar" id="{6F1780FA-20FC-4DF4-A8C6-51CC04F73E68}">
            <x14:dataBar minLength="0" maxLength="100" border="1" negativeBarBorderColorSameAsPositive="0">
              <x14:cfvo type="autoMin"/>
              <x14:cfvo type="autoMax"/>
              <x14:borderColor rgb="FFFF555A"/>
              <x14:negativeFillColor rgb="FFFF0000"/>
              <x14:negativeBorderColor rgb="FFFF0000"/>
              <x14:axisColor rgb="FF000000"/>
            </x14:dataBar>
          </x14:cfRule>
          <xm:sqref>K13:M16</xm:sqref>
        </x14:conditionalFormatting>
        <x14:conditionalFormatting xmlns:xm="http://schemas.microsoft.com/office/excel/2006/main">
          <x14:cfRule type="dataBar" id="{CD24048C-641A-4303-9191-512E20D69932}">
            <x14:dataBar minLength="0" maxLength="100" border="1" negativeBarBorderColorSameAsPositive="0">
              <x14:cfvo type="autoMin"/>
              <x14:cfvo type="autoMax"/>
              <x14:borderColor rgb="FFFFB628"/>
              <x14:negativeFillColor rgb="FFFF0000"/>
              <x14:negativeBorderColor rgb="FFFF0000"/>
              <x14:axisColor rgb="FF000000"/>
            </x14:dataBar>
          </x14:cfRule>
          <xm:sqref>K24:M26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B3689-5251-48C3-94D8-61CB940F088E}">
  <dimension ref="A1:AI8"/>
  <sheetViews>
    <sheetView showGridLines="0" topLeftCell="A14" zoomScale="69" zoomScaleNormal="80" workbookViewId="0">
      <selection activeCell="S11" sqref="S11"/>
    </sheetView>
  </sheetViews>
  <sheetFormatPr defaultRowHeight="14.4" x14ac:dyDescent="0.3"/>
  <cols>
    <col min="1" max="16384" width="8.88671875" style="12"/>
  </cols>
  <sheetData>
    <row r="1" spans="1:35" ht="14.4" customHeight="1" x14ac:dyDescent="0.3">
      <c r="A1" s="24" t="s">
        <v>305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pans="1:35" ht="14.4" customHeight="1"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5" ht="14.4" customHeight="1"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row>
    <row r="4" spans="1:35" ht="14.4" customHeight="1"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row>
    <row r="5" spans="1:35" ht="14.4" customHeight="1"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row>
    <row r="6" spans="1:35" ht="14.4" customHeight="1"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row>
    <row r="7" spans="1:35" ht="14.4" customHeight="1"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row>
    <row r="8" spans="1:35" ht="14.4" customHeight="1"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row>
  </sheetData>
  <mergeCells count="1">
    <mergeCell ref="A1:AI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51C023-A128-49ED-9A08-507FD83BEE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treatment</vt:lpstr>
      <vt:lpstr>patient</vt:lpstr>
      <vt:lpstr>doctor</vt:lpstr>
      <vt:lpstr>bill</vt:lpstr>
      <vt:lpstr>hospital management</vt:lpstr>
      <vt:lpstr>clean data</vt:lpstr>
      <vt:lpstr>pivot</vt:lpstr>
      <vt:lpstr>QUESTION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V</dc:creator>
  <cp:lastModifiedBy>mohammedshafeeqk19@gmail.com</cp:lastModifiedBy>
  <dcterms:created xsi:type="dcterms:W3CDTF">2026-09-08T10:55:36Z</dcterms:created>
  <dcterms:modified xsi:type="dcterms:W3CDTF">2026-09-15T04:56:41Z</dcterms:modified>
</cp:coreProperties>
</file>